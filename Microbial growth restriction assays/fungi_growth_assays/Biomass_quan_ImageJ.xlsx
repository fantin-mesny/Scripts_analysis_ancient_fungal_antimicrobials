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bialGrowthAssays\Fungal_growth_assays\Biomass_quan_ImageJ\"/>
    </mc:Choice>
  </mc:AlternateContent>
  <xr:revisionPtr revIDLastSave="0" documentId="13_ncr:1_{2E11C0AA-D92D-4EBA-A08B-899FCFCCFFC9}" xr6:coauthVersionLast="47" xr6:coauthVersionMax="47" xr10:uidLastSave="{00000000-0000-0000-0000-000000000000}"/>
  <bookViews>
    <workbookView xWindow="-120" yWindow="-120" windowWidth="29040" windowHeight="17640" activeTab="6" xr2:uid="{21CBFEA3-55ED-4FFA-A258-FE6A03125F73}"/>
  </bookViews>
  <sheets>
    <sheet name="DataImageJ" sheetId="1" r:id="rId1"/>
    <sheet name="calc" sheetId="2" r:id="rId2"/>
    <sheet name="all" sheetId="3" r:id="rId3"/>
    <sheet name="Fil" sheetId="4" r:id="rId4"/>
    <sheet name="yea" sheetId="5" r:id="rId5"/>
    <sheet name="AVR-Pita" sheetId="8" r:id="rId6"/>
    <sheet name="Vd424Y" sheetId="6" r:id="rId7"/>
    <sheet name="AGLIP1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N19" i="2"/>
  <c r="N20" i="2"/>
  <c r="N22" i="2"/>
  <c r="N23" i="2"/>
  <c r="N24" i="2"/>
  <c r="N25" i="2"/>
  <c r="D94" i="2"/>
  <c r="E94" i="2"/>
  <c r="F94" i="2"/>
  <c r="G94" i="2" s="1"/>
  <c r="D97" i="2"/>
  <c r="E97" i="2"/>
  <c r="F97" i="2"/>
  <c r="G97" i="2" s="1"/>
  <c r="D100" i="2"/>
  <c r="E100" i="2"/>
  <c r="F100" i="2" s="1"/>
  <c r="G100" i="2" s="1"/>
  <c r="D103" i="2"/>
  <c r="E103" i="2"/>
  <c r="F103" i="2"/>
  <c r="G103" i="2" s="1"/>
  <c r="D106" i="2"/>
  <c r="E106" i="2"/>
  <c r="F106" i="2"/>
  <c r="G106" i="2" s="1"/>
  <c r="D109" i="2"/>
  <c r="E109" i="2"/>
  <c r="F109" i="2" s="1"/>
  <c r="G109" i="2" s="1"/>
  <c r="D112" i="2"/>
  <c r="E112" i="2"/>
  <c r="F112" i="2" s="1"/>
  <c r="G112" i="2" s="1"/>
  <c r="D115" i="2"/>
  <c r="E115" i="2"/>
  <c r="F115" i="2"/>
  <c r="G115" i="2" s="1"/>
  <c r="D118" i="2"/>
  <c r="E118" i="2"/>
  <c r="F118" i="2" s="1"/>
  <c r="G118" i="2" s="1"/>
  <c r="D121" i="2"/>
  <c r="E121" i="2"/>
  <c r="F121" i="2"/>
  <c r="G121" i="2" s="1"/>
  <c r="D124" i="2"/>
  <c r="E124" i="2"/>
  <c r="F124" i="2"/>
  <c r="G124" i="2" s="1"/>
  <c r="D127" i="2"/>
  <c r="E127" i="2"/>
  <c r="F127" i="2"/>
  <c r="G127" i="2" s="1"/>
  <c r="D130" i="2"/>
  <c r="E130" i="2"/>
  <c r="F130" i="2"/>
  <c r="G130" i="2" s="1"/>
  <c r="D133" i="2"/>
  <c r="E133" i="2"/>
  <c r="F133" i="2" s="1"/>
  <c r="G133" i="2" s="1"/>
  <c r="C39" i="7"/>
  <c r="N14" i="2"/>
  <c r="N15" i="2"/>
  <c r="N16" i="2"/>
  <c r="N17" i="2"/>
  <c r="N13" i="2"/>
  <c r="N10" i="2"/>
  <c r="N9" i="2"/>
  <c r="N8" i="2"/>
  <c r="N2" i="2"/>
  <c r="N12" i="2"/>
  <c r="N11" i="2"/>
  <c r="N7" i="2"/>
  <c r="N6" i="2"/>
  <c r="N4" i="2"/>
  <c r="N3" i="2"/>
  <c r="C69" i="2"/>
  <c r="E70" i="2" s="1"/>
  <c r="F70" i="2" s="1"/>
  <c r="E46" i="2"/>
  <c r="F46" i="2" s="1"/>
  <c r="G46" i="2" s="1"/>
  <c r="E49" i="2"/>
  <c r="F49" i="2" s="1"/>
  <c r="G49" i="2" s="1"/>
  <c r="E52" i="2"/>
  <c r="F52" i="2" s="1"/>
  <c r="G52" i="2" s="1"/>
  <c r="E55" i="2"/>
  <c r="F55" i="2" s="1"/>
  <c r="G55" i="2" s="1"/>
  <c r="E58" i="2"/>
  <c r="F58" i="2" s="1"/>
  <c r="G58" i="2" s="1"/>
  <c r="E61" i="2"/>
  <c r="F61" i="2" s="1"/>
  <c r="E64" i="2"/>
  <c r="F64" i="2" s="1"/>
  <c r="G64" i="2" s="1"/>
  <c r="E67" i="2"/>
  <c r="F67" i="2" s="1"/>
  <c r="E73" i="2"/>
  <c r="F73" i="2" s="1"/>
  <c r="G73" i="2" s="1"/>
  <c r="E76" i="2"/>
  <c r="F76" i="2" s="1"/>
  <c r="E79" i="2"/>
  <c r="F79" i="2" s="1"/>
  <c r="G79" i="2" s="1"/>
  <c r="E82" i="2"/>
  <c r="F82" i="2" s="1"/>
  <c r="G82" i="2" s="1"/>
  <c r="E85" i="2"/>
  <c r="F85" i="2" s="1"/>
  <c r="G85" i="2" s="1"/>
  <c r="E88" i="2"/>
  <c r="F88" i="2" s="1"/>
  <c r="G88" i="2" s="1"/>
  <c r="E91" i="2"/>
  <c r="F91" i="2" s="1"/>
  <c r="G91" i="2" s="1"/>
  <c r="D46" i="2"/>
  <c r="D49" i="2"/>
  <c r="D52" i="2"/>
  <c r="D55" i="2"/>
  <c r="D58" i="2"/>
  <c r="D61" i="2"/>
  <c r="D64" i="2"/>
  <c r="D67" i="2"/>
  <c r="D70" i="2"/>
  <c r="D73" i="2"/>
  <c r="D76" i="2"/>
  <c r="D79" i="2"/>
  <c r="D82" i="2"/>
  <c r="D85" i="2"/>
  <c r="D88" i="2"/>
  <c r="D91" i="2"/>
  <c r="E7" i="2"/>
  <c r="F7" i="2" s="1"/>
  <c r="E10" i="2"/>
  <c r="F10" i="2" s="1"/>
  <c r="G10" i="2" s="1"/>
  <c r="E13" i="2"/>
  <c r="F13" i="2" s="1"/>
  <c r="G13" i="2" s="1"/>
  <c r="E16" i="2"/>
  <c r="F16" i="2" s="1"/>
  <c r="E19" i="2"/>
  <c r="F19" i="2" s="1"/>
  <c r="G19" i="2" s="1"/>
  <c r="E22" i="2"/>
  <c r="F22" i="2" s="1"/>
  <c r="G22" i="2" s="1"/>
  <c r="E25" i="2"/>
  <c r="F25" i="2" s="1"/>
  <c r="G25" i="2" s="1"/>
  <c r="E28" i="2"/>
  <c r="F28" i="2" s="1"/>
  <c r="E31" i="2"/>
  <c r="F31" i="2" s="1"/>
  <c r="G31" i="2" s="1"/>
  <c r="E34" i="2"/>
  <c r="F34" i="2" s="1"/>
  <c r="G34" i="2" s="1"/>
  <c r="E37" i="2"/>
  <c r="F37" i="2" s="1"/>
  <c r="G37" i="2" s="1"/>
  <c r="E40" i="2"/>
  <c r="F40" i="2" s="1"/>
  <c r="E43" i="2"/>
  <c r="F43" i="2" s="1"/>
  <c r="E4" i="2"/>
  <c r="F4" i="2" s="1"/>
  <c r="D10" i="2"/>
  <c r="D13" i="2"/>
  <c r="D16" i="2"/>
  <c r="D19" i="2"/>
  <c r="D22" i="2"/>
  <c r="D25" i="2"/>
  <c r="D28" i="2"/>
  <c r="D31" i="2"/>
  <c r="D34" i="2"/>
  <c r="D37" i="2"/>
  <c r="D40" i="2"/>
  <c r="D43" i="2"/>
  <c r="D7" i="2"/>
  <c r="D4" i="2"/>
  <c r="G76" i="2" l="1"/>
  <c r="G67" i="2"/>
  <c r="G61" i="2"/>
  <c r="G43" i="2"/>
  <c r="G16" i="2"/>
  <c r="G40" i="2"/>
  <c r="G70" i="2"/>
  <c r="G28" i="2"/>
  <c r="G7" i="2"/>
  <c r="G4" i="2"/>
</calcChain>
</file>

<file path=xl/sharedStrings.xml><?xml version="1.0" encoding="utf-8"?>
<sst xmlns="http://schemas.openxmlformats.org/spreadsheetml/2006/main" count="822" uniqueCount="181">
  <si>
    <t>E12 Objektiv 10x 08-08-24.jpg</t>
  </si>
  <si>
    <t>0.232</t>
  </si>
  <si>
    <t>E10 Objektiv 10x 08-08-24.jpg</t>
  </si>
  <si>
    <t>0.242</t>
  </si>
  <si>
    <t>E11 Objektiv 10x 08-08-24.jpg</t>
  </si>
  <si>
    <t>0.183</t>
  </si>
  <si>
    <t>E8 Objektiv 10x 08-08-24.jpg</t>
  </si>
  <si>
    <t>0.869</t>
  </si>
  <si>
    <t>E7 Objektiv 10x 08-08-24.jpg</t>
  </si>
  <si>
    <t>0.675</t>
  </si>
  <si>
    <t>E9 Objektiv 10x 08-08-24.jpg</t>
  </si>
  <si>
    <t>0.791</t>
  </si>
  <si>
    <t>Name</t>
  </si>
  <si>
    <t>Count</t>
  </si>
  <si>
    <t>Total Area</t>
  </si>
  <si>
    <t>Average Size</t>
  </si>
  <si>
    <t>%Area</t>
  </si>
  <si>
    <t>Mean</t>
  </si>
  <si>
    <t>Strain</t>
  </si>
  <si>
    <t>T. viride</t>
  </si>
  <si>
    <t>A. brassicicola</t>
  </si>
  <si>
    <t>C. cucumerinum</t>
  </si>
  <si>
    <t>F7 Objektiv 10x 08-08-24.jpg</t>
  </si>
  <si>
    <t>F10 Objektiv 10x 08-08-24.jpg</t>
  </si>
  <si>
    <t>0.591</t>
  </si>
  <si>
    <t>F8 Objektiv 10x 08-08-24.jpg</t>
  </si>
  <si>
    <t>F9 Objektiv 10x 08-08-24.jpg</t>
  </si>
  <si>
    <t>F11 Objektiv 10x 08-08-24.jpg</t>
  </si>
  <si>
    <t>0.470</t>
  </si>
  <si>
    <t>F12 Objektiv 10x 08-08-24.jpg</t>
  </si>
  <si>
    <t>0.670</t>
  </si>
  <si>
    <t>G7 Objektiv 10x 08-08-24.jpg</t>
  </si>
  <si>
    <t>G8 Objektiv 10x 08-08-24.jpg</t>
  </si>
  <si>
    <t>G9 Objektiv 10x 08-08-24.jpg</t>
  </si>
  <si>
    <t>G10 Objektiv 10x 08-08-24.jpg</t>
  </si>
  <si>
    <t>G11 Objektiv 10x 08-08-24.jpg</t>
  </si>
  <si>
    <t>G12 Objektiv 10x 08-08-24.jpg</t>
  </si>
  <si>
    <t>Vd424Y</t>
  </si>
  <si>
    <t xml:space="preserve">P. pastoris </t>
  </si>
  <si>
    <t xml:space="preserve">C. jadinii </t>
  </si>
  <si>
    <t xml:space="preserve">R. bogoriensis </t>
  </si>
  <si>
    <t xml:space="preserve">D. varijiae </t>
  </si>
  <si>
    <t>A7 Objektiv 10x 08-08-24.jpg</t>
  </si>
  <si>
    <t>A8 Objektiv 10x 08-08-24.jpg</t>
  </si>
  <si>
    <t>A9 Objektiv 10x 08-08-24.jpg</t>
  </si>
  <si>
    <t>A10 Objektiv 10x 08-08-24.jpg</t>
  </si>
  <si>
    <t>A11 Objektiv 10x 08-08-24.jpg</t>
  </si>
  <si>
    <t>A12 Objektiv 10x 08-08-24.jpg</t>
  </si>
  <si>
    <t>B7 Objektiv 10x 08-08-24.jpg</t>
  </si>
  <si>
    <t>B8 Objektiv 10x 08-08-24.jpg</t>
  </si>
  <si>
    <t>B9 Objektiv 10x 08-08-24.jpg</t>
  </si>
  <si>
    <t>B10 Objektiv 10x 08-08-24.jpg</t>
  </si>
  <si>
    <t>B11 Objektiv 10x 08-08-24.jpg</t>
  </si>
  <si>
    <t>B12 Objektiv 10x 08-08-24.jpg</t>
  </si>
  <si>
    <t>C7 Objektiv 10x 08-08-24.jpg</t>
  </si>
  <si>
    <t>C9 Objektiv 10x 08-08-24.jpg</t>
  </si>
  <si>
    <t>C8 Objektiv 10x 08-08-24.jpg</t>
  </si>
  <si>
    <t>C10 Objektiv 10x 08-08-24.jpg</t>
  </si>
  <si>
    <t>C11 Objektiv 10x 08-08-24.jpg</t>
  </si>
  <si>
    <t>C12 Objektiv 10x 08-08-24.jpg</t>
  </si>
  <si>
    <t>D7 Objektiv 10x 08-08-24.jpg</t>
  </si>
  <si>
    <t>D8 Objektiv 10x 08-08-24.jpg</t>
  </si>
  <si>
    <t>D9 Objektiv 10x 08-08-24.jpg</t>
  </si>
  <si>
    <t>D10 Objektiv 10x 08-08-24.jpg</t>
  </si>
  <si>
    <t>D11 Objektiv 10x 08-08-24.jpg</t>
  </si>
  <si>
    <t>D12 Objektiv 10x 08-08-24.jpg</t>
  </si>
  <si>
    <t>Treatment</t>
  </si>
  <si>
    <t>PPB</t>
  </si>
  <si>
    <t>TotalArea</t>
  </si>
  <si>
    <t>Average</t>
  </si>
  <si>
    <t>sd</t>
  </si>
  <si>
    <t>se</t>
  </si>
  <si>
    <t>rel se</t>
  </si>
  <si>
    <t>AGLIP1</t>
  </si>
  <si>
    <t>E1 Objektiv 10x 29-08-24.jpg</t>
  </si>
  <si>
    <t>E2 Objektiv 10x 29-08-24.jpg</t>
  </si>
  <si>
    <t>E3 Objektiv 10x 29-08-24.jpg</t>
  </si>
  <si>
    <t>E4 Objektiv 10x 29-08-24.jpg</t>
  </si>
  <si>
    <t>E5 Objektiv 10x 29-08-24.jpg</t>
  </si>
  <si>
    <t>E6 Objektiv 10x 29-08-24.jpg</t>
  </si>
  <si>
    <t>F1-1 Objektiv 10x 29-08-24.jpg</t>
  </si>
  <si>
    <t>0.862</t>
  </si>
  <si>
    <t>F2-2 Objektiv 10x 29-08-24.jpg</t>
  </si>
  <si>
    <t>0.537</t>
  </si>
  <si>
    <t>F3 Objektiv 10x 29-08-24.jpg</t>
  </si>
  <si>
    <t>0.855</t>
  </si>
  <si>
    <t>F4 Objektiv 10x 29-08-24.jpg</t>
  </si>
  <si>
    <t>F5 Objektiv 10x 29-08-24.jpg</t>
  </si>
  <si>
    <t>F6 Objektiv 10x 29-08-24.jpg</t>
  </si>
  <si>
    <t>G1 Objektiv 10x 29-08-24.jpg</t>
  </si>
  <si>
    <t>0.452</t>
  </si>
  <si>
    <t>G2 Objektiv 10x 29-08-24.jpg</t>
  </si>
  <si>
    <t>0.588</t>
  </si>
  <si>
    <t>G3 Objektiv 10x 29-08-24.jpg</t>
  </si>
  <si>
    <t>0.381</t>
  </si>
  <si>
    <t>G4 Objektiv 10x 29-08-24.jpg</t>
  </si>
  <si>
    <t>G5 Objektiv 10x 29-08-24.jpg</t>
  </si>
  <si>
    <t>G6 Objektiv 10x 29-08-24.jpg</t>
  </si>
  <si>
    <t>H1 Objektiv 10x 29-08-24.jpg</t>
  </si>
  <si>
    <t>0.165</t>
  </si>
  <si>
    <t>H2 Objektiv 10x 29-08-24.jpg</t>
  </si>
  <si>
    <t>0.163</t>
  </si>
  <si>
    <t>H3 Objektiv 10x 29-08-24.jpg</t>
  </si>
  <si>
    <t>0.227</t>
  </si>
  <si>
    <t>H4 Objektiv 10x 29-08-24.jpg</t>
  </si>
  <si>
    <t>H5 Objektiv 10x 29-08-24.jpg</t>
  </si>
  <si>
    <t>H6 Objektiv 10x 29-08-24.jpg</t>
  </si>
  <si>
    <t xml:space="preserve">V. dahliae </t>
  </si>
  <si>
    <t>A1 Objektiv 10x 29-08-24.jpg</t>
  </si>
  <si>
    <t>A2 Objektiv 10x 29-08-24 - half!.jpg</t>
  </si>
  <si>
    <t>A3 Objektiv 10x 29-08-24.jpg</t>
  </si>
  <si>
    <t>A4 Objektiv 10x 29-08-24.jpg</t>
  </si>
  <si>
    <t>A5 Objektiv 10x 29-08-24.jpg</t>
  </si>
  <si>
    <t>A6 Objektiv 10x 29-08-24.jpg</t>
  </si>
  <si>
    <t>x2!</t>
  </si>
  <si>
    <t>B1 Objektiv 10x 29-08-24.jpg</t>
  </si>
  <si>
    <t>B2 Objektiv 10x 29-08-24.jpg</t>
  </si>
  <si>
    <t>B3 Objektiv 10x 29-08-24.jpg</t>
  </si>
  <si>
    <t>B4 Objektiv 10x 29-08-24.jpg</t>
  </si>
  <si>
    <t>B5 Objektiv 10x 29-08-24.jpg</t>
  </si>
  <si>
    <t>B6 Objektiv 10x 29-08-24.jpg</t>
  </si>
  <si>
    <t>C1 Objektiv 10x 29-08-24.jpg</t>
  </si>
  <si>
    <t>C2 Objektiv 10x 29-08-24.jpg</t>
  </si>
  <si>
    <t>C3 Objektiv 10x 29-08-24.jpg</t>
  </si>
  <si>
    <t>C4 Objektiv 10x 29-08-24.jpg</t>
  </si>
  <si>
    <t>C5 Objektiv 10x 29-08-24.jpg</t>
  </si>
  <si>
    <t>C6 Objektiv 10x 29-08-24.jpg</t>
  </si>
  <si>
    <t>?</t>
  </si>
  <si>
    <t>D1 Objektiv 10x 29-08-24.jpg</t>
  </si>
  <si>
    <t>D2 Objektiv 10x 29-08-24.jpg</t>
  </si>
  <si>
    <t>D3 Objektiv 10x 29-08-24.jpg</t>
  </si>
  <si>
    <t>D4 Objektiv 10x 29-08-24.jpg</t>
  </si>
  <si>
    <t>D5 Objektiv 10x 29-08-24.jpg</t>
  </si>
  <si>
    <t>D6-2 Objektiv 10x 29-08-24.jpg</t>
  </si>
  <si>
    <t>Species</t>
  </si>
  <si>
    <t>mean (PPB)</t>
  </si>
  <si>
    <t>mean (Protein)</t>
  </si>
  <si>
    <t>percentage of growth reduction</t>
  </si>
  <si>
    <t>Protein</t>
  </si>
  <si>
    <t>AVR-Pita</t>
  </si>
  <si>
    <t>E1 Objektiv 10x 08-08-24.jpg</t>
  </si>
  <si>
    <t>E2 Objektiv 10x 08-08-24.jpg</t>
  </si>
  <si>
    <t>E3 Objektiv 10x 08-08-24.jpg</t>
  </si>
  <si>
    <t>E4 Objektiv 10x 08-08-24.jpg</t>
  </si>
  <si>
    <t>E5 Objektiv 10x 08-08-24.jpg</t>
  </si>
  <si>
    <t>E6 Objektiv 10x 08-08-24.jpg</t>
  </si>
  <si>
    <t>F1 Objektiv 10x 08-08-24.jpg</t>
  </si>
  <si>
    <t>F2 Objektiv 10x 08-08-24.jpg</t>
  </si>
  <si>
    <t>F3 Objektiv 10x 08-08-24.jpg</t>
  </si>
  <si>
    <t>F4 Objektiv 10x 08-08-24.jpg</t>
  </si>
  <si>
    <t>F5 Objektiv 10x 08-08-24.jpg</t>
  </si>
  <si>
    <t>F6 Objektiv 10x 08-08-24.jpg</t>
  </si>
  <si>
    <t>G1 Objektiv 10x 08-08-24.jpg</t>
  </si>
  <si>
    <t>G2 Objektiv 10x 08-08-24.jpg</t>
  </si>
  <si>
    <t>G3 Objektiv 10x 08-08-24.jpg</t>
  </si>
  <si>
    <t>G4 Objektiv 10x 08-08-24.jpg</t>
  </si>
  <si>
    <t>G5 Objektiv 10x 08-08-24.jpg</t>
  </si>
  <si>
    <t>G6 Objektiv 10x 08-08-24.jpg</t>
  </si>
  <si>
    <t>A1 Objektiv 10x 08-08-24.jpg</t>
  </si>
  <si>
    <t>A2 Objektiv 10x 08-08-24.jpg</t>
  </si>
  <si>
    <t>A3 Objektiv 10x 08-08-24.jpg</t>
  </si>
  <si>
    <t>A4 Objektiv 10x 08-08-24.jpg</t>
  </si>
  <si>
    <t>A5 Objektiv 10x 08-08-24.jpg</t>
  </si>
  <si>
    <t>A6 Objektiv 10x 08-08-24.jpg</t>
  </si>
  <si>
    <t>B1 Objektiv 10x 08-08-24.jpg</t>
  </si>
  <si>
    <t>B2 Objektiv 10x 08-08-24.jpg</t>
  </si>
  <si>
    <t>B3 Objektiv 10x 08-08-24.jpg</t>
  </si>
  <si>
    <t>B4 Objektiv 10x 08-08-24.jpg</t>
  </si>
  <si>
    <t>B5 Objektiv 10x 08-08-24.jpg</t>
  </si>
  <si>
    <t>B6 Objektiv 10x 08-08-24.jpg</t>
  </si>
  <si>
    <t>C1 Objektiv 10x 08-08-24.jpg</t>
  </si>
  <si>
    <t>C2 Objektiv 10x 08-08-24.jpg</t>
  </si>
  <si>
    <t>C3 Objektiv 10x 08-08-24.jpg</t>
  </si>
  <si>
    <t>C5 Objektiv 10x 08-08-24.jpg</t>
  </si>
  <si>
    <t>C6 Objektiv 10x 08-08-24.jpg</t>
  </si>
  <si>
    <t>D1 Objektiv 10x 08-08-24.jpg</t>
  </si>
  <si>
    <t>D2 Objektiv 10x 08-08-24.jpg</t>
  </si>
  <si>
    <t>D3 Objektiv 10x 08-08-24.jpg</t>
  </si>
  <si>
    <t>D4 Objektiv 10x 08-08-24.jpg</t>
  </si>
  <si>
    <t>D5 Objektiv 10x 08-08-24.jpg</t>
  </si>
  <si>
    <t>D6 Objektiv 10x 08-08-24.jpg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</si>
</sst>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3" applyBorder="0">
      <alignment horizontal="center"/>
    </xf>
  </cellStyleXfs>
  <cellXfs count="14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/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7" fillId="0" borderId="0" xfId="0" applyFont="1"/>
    <xf numFmtId="0" fontId="9" fillId="0" borderId="2" xfId="0" applyFont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Style 1" xfId="1" xr:uid="{10E7F87C-6AFB-4AF3-B790-458C8E41E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DB83-C376-42A0-A46C-3504A35129F8}">
  <dimension ref="A1:H139"/>
  <sheetViews>
    <sheetView topLeftCell="A97" workbookViewId="0">
      <selection activeCell="D98" sqref="D98:D139"/>
    </sheetView>
  </sheetViews>
  <sheetFormatPr defaultRowHeight="15" x14ac:dyDescent="0.25"/>
  <sheetData>
    <row r="1" spans="1:7" ht="18.75" x14ac:dyDescent="0.3">
      <c r="A1" s="4" t="s">
        <v>37</v>
      </c>
    </row>
    <row r="2" spans="1:7" x14ac:dyDescent="0.25">
      <c r="A2" s="3" t="s">
        <v>18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x14ac:dyDescent="0.25">
      <c r="A3" s="2" t="s">
        <v>19</v>
      </c>
      <c r="B3" t="s">
        <v>8</v>
      </c>
      <c r="C3">
        <v>724</v>
      </c>
      <c r="D3">
        <v>42467</v>
      </c>
      <c r="E3" s="1">
        <v>58656</v>
      </c>
      <c r="F3" t="s">
        <v>9</v>
      </c>
      <c r="G3" s="1">
        <v>185833</v>
      </c>
    </row>
    <row r="4" spans="1:7" x14ac:dyDescent="0.25">
      <c r="B4" t="s">
        <v>6</v>
      </c>
      <c r="C4">
        <v>928</v>
      </c>
      <c r="D4">
        <v>54673</v>
      </c>
      <c r="E4" s="1">
        <v>58915</v>
      </c>
      <c r="F4" t="s">
        <v>7</v>
      </c>
      <c r="G4" s="1">
        <v>190464</v>
      </c>
    </row>
    <row r="5" spans="1:7" x14ac:dyDescent="0.25">
      <c r="B5" t="s">
        <v>10</v>
      </c>
      <c r="C5">
        <v>839</v>
      </c>
      <c r="D5">
        <v>49774</v>
      </c>
      <c r="E5" s="1">
        <v>59325</v>
      </c>
      <c r="F5" t="s">
        <v>11</v>
      </c>
      <c r="G5" s="1">
        <v>198233</v>
      </c>
    </row>
    <row r="6" spans="1:7" x14ac:dyDescent="0.25">
      <c r="B6" t="s">
        <v>2</v>
      </c>
      <c r="C6">
        <v>151</v>
      </c>
      <c r="D6">
        <v>15221</v>
      </c>
      <c r="E6" s="1">
        <v>100801</v>
      </c>
      <c r="F6" t="s">
        <v>3</v>
      </c>
      <c r="G6" s="1">
        <v>174943</v>
      </c>
    </row>
    <row r="7" spans="1:7" x14ac:dyDescent="0.25">
      <c r="B7" t="s">
        <v>4</v>
      </c>
      <c r="C7">
        <v>254</v>
      </c>
      <c r="D7">
        <v>11520</v>
      </c>
      <c r="E7" s="1">
        <v>45354</v>
      </c>
      <c r="F7" t="s">
        <v>5</v>
      </c>
      <c r="G7" s="1">
        <v>174915</v>
      </c>
    </row>
    <row r="8" spans="1:7" x14ac:dyDescent="0.25">
      <c r="B8" t="s">
        <v>0</v>
      </c>
      <c r="C8">
        <v>138</v>
      </c>
      <c r="D8">
        <v>14592</v>
      </c>
      <c r="E8" s="1">
        <v>105739</v>
      </c>
      <c r="F8" t="s">
        <v>1</v>
      </c>
      <c r="G8" s="1">
        <v>175439</v>
      </c>
    </row>
    <row r="9" spans="1:7" x14ac:dyDescent="0.25">
      <c r="A9" s="2" t="s">
        <v>20</v>
      </c>
      <c r="B9" t="s">
        <v>22</v>
      </c>
      <c r="C9">
        <v>2337</v>
      </c>
      <c r="D9">
        <v>157282</v>
      </c>
      <c r="E9" s="1">
        <v>67301</v>
      </c>
      <c r="F9" s="1">
        <v>2500</v>
      </c>
      <c r="G9" s="1">
        <v>187467</v>
      </c>
    </row>
    <row r="10" spans="1:7" x14ac:dyDescent="0.25">
      <c r="B10" t="s">
        <v>25</v>
      </c>
      <c r="C10">
        <v>2751</v>
      </c>
      <c r="D10">
        <v>167020</v>
      </c>
      <c r="E10" s="1">
        <v>60712</v>
      </c>
      <c r="F10" s="1">
        <v>2655</v>
      </c>
      <c r="G10" s="1">
        <v>186793</v>
      </c>
    </row>
    <row r="11" spans="1:7" x14ac:dyDescent="0.25">
      <c r="B11" t="s">
        <v>26</v>
      </c>
      <c r="C11">
        <v>2902</v>
      </c>
      <c r="D11">
        <v>189533</v>
      </c>
      <c r="E11" s="1">
        <v>65311</v>
      </c>
      <c r="F11" s="1">
        <v>3013</v>
      </c>
      <c r="G11" s="1">
        <v>185226</v>
      </c>
    </row>
    <row r="12" spans="1:7" x14ac:dyDescent="0.25">
      <c r="B12" t="s">
        <v>23</v>
      </c>
      <c r="C12">
        <v>302</v>
      </c>
      <c r="D12">
        <v>37187</v>
      </c>
      <c r="E12" s="1">
        <v>123136</v>
      </c>
      <c r="F12" t="s">
        <v>24</v>
      </c>
      <c r="G12" s="1">
        <v>162359</v>
      </c>
    </row>
    <row r="13" spans="1:7" x14ac:dyDescent="0.25">
      <c r="B13" t="s">
        <v>27</v>
      </c>
      <c r="C13">
        <v>172</v>
      </c>
      <c r="D13">
        <v>29550</v>
      </c>
      <c r="E13" s="1">
        <v>171802</v>
      </c>
      <c r="F13" t="s">
        <v>28</v>
      </c>
      <c r="G13" s="1">
        <v>170829</v>
      </c>
    </row>
    <row r="14" spans="1:7" x14ac:dyDescent="0.25">
      <c r="B14" t="s">
        <v>29</v>
      </c>
      <c r="C14">
        <v>192</v>
      </c>
      <c r="D14">
        <v>42169</v>
      </c>
      <c r="E14" s="1">
        <v>219630</v>
      </c>
      <c r="F14" t="s">
        <v>30</v>
      </c>
      <c r="G14" s="1">
        <v>168136</v>
      </c>
    </row>
    <row r="15" spans="1:7" x14ac:dyDescent="0.25">
      <c r="A15" s="2" t="s">
        <v>21</v>
      </c>
      <c r="B15" t="s">
        <v>31</v>
      </c>
      <c r="C15">
        <v>4097</v>
      </c>
      <c r="D15">
        <v>538022</v>
      </c>
      <c r="E15" s="1">
        <v>131321</v>
      </c>
      <c r="F15" s="1">
        <v>8552</v>
      </c>
      <c r="G15" s="1">
        <v>170585</v>
      </c>
    </row>
    <row r="16" spans="1:7" x14ac:dyDescent="0.25">
      <c r="B16" t="s">
        <v>32</v>
      </c>
      <c r="C16">
        <v>5054</v>
      </c>
      <c r="D16">
        <v>621329</v>
      </c>
      <c r="E16" s="1">
        <v>122938</v>
      </c>
      <c r="F16" s="1">
        <v>9876</v>
      </c>
      <c r="G16" s="1">
        <v>188916</v>
      </c>
    </row>
    <row r="17" spans="1:7" x14ac:dyDescent="0.25">
      <c r="B17" t="s">
        <v>33</v>
      </c>
      <c r="C17">
        <v>4622</v>
      </c>
      <c r="D17">
        <v>605783</v>
      </c>
      <c r="E17" s="1">
        <v>131065</v>
      </c>
      <c r="F17" s="1">
        <v>9629</v>
      </c>
      <c r="G17" s="1">
        <v>190758</v>
      </c>
    </row>
    <row r="18" spans="1:7" x14ac:dyDescent="0.25">
      <c r="B18" t="s">
        <v>34</v>
      </c>
      <c r="C18">
        <v>603</v>
      </c>
      <c r="D18">
        <v>75010</v>
      </c>
      <c r="E18" s="1">
        <v>124395</v>
      </c>
      <c r="F18" s="1">
        <v>1192</v>
      </c>
      <c r="G18" s="1">
        <v>182942</v>
      </c>
    </row>
    <row r="19" spans="1:7" x14ac:dyDescent="0.25">
      <c r="B19" t="s">
        <v>35</v>
      </c>
      <c r="C19">
        <v>942</v>
      </c>
      <c r="D19">
        <v>102355</v>
      </c>
      <c r="E19" s="1">
        <v>108657</v>
      </c>
      <c r="F19" s="1">
        <v>1627</v>
      </c>
      <c r="G19" s="1">
        <v>194914</v>
      </c>
    </row>
    <row r="20" spans="1:7" x14ac:dyDescent="0.25">
      <c r="B20" t="s">
        <v>36</v>
      </c>
      <c r="C20">
        <v>695</v>
      </c>
      <c r="D20">
        <v>106503</v>
      </c>
      <c r="E20" s="1">
        <v>153242</v>
      </c>
      <c r="F20" s="1">
        <v>1693</v>
      </c>
      <c r="G20" s="1">
        <v>182346</v>
      </c>
    </row>
    <row r="21" spans="1:7" x14ac:dyDescent="0.25">
      <c r="A21" s="2" t="s">
        <v>38</v>
      </c>
      <c r="B21" t="s">
        <v>42</v>
      </c>
      <c r="C21">
        <v>1302</v>
      </c>
      <c r="D21">
        <v>100191</v>
      </c>
      <c r="E21" s="1">
        <v>76952</v>
      </c>
      <c r="F21" s="1">
        <v>1592</v>
      </c>
      <c r="G21" s="1">
        <v>192675</v>
      </c>
    </row>
    <row r="22" spans="1:7" x14ac:dyDescent="0.25">
      <c r="B22" t="s">
        <v>43</v>
      </c>
      <c r="C22">
        <v>1957</v>
      </c>
      <c r="D22">
        <v>112251</v>
      </c>
      <c r="E22" s="1">
        <v>57359</v>
      </c>
      <c r="F22" s="1">
        <v>1784</v>
      </c>
      <c r="G22" s="1">
        <v>189996</v>
      </c>
    </row>
    <row r="23" spans="1:7" x14ac:dyDescent="0.25">
      <c r="B23" t="s">
        <v>44</v>
      </c>
      <c r="C23">
        <v>1655</v>
      </c>
      <c r="D23">
        <v>94472</v>
      </c>
      <c r="E23" s="1">
        <v>57083</v>
      </c>
      <c r="F23" s="1">
        <v>1502</v>
      </c>
      <c r="G23" s="1">
        <v>194851</v>
      </c>
    </row>
    <row r="24" spans="1:7" x14ac:dyDescent="0.25">
      <c r="B24" t="s">
        <v>45</v>
      </c>
      <c r="C24">
        <v>1825</v>
      </c>
      <c r="D24">
        <v>172934</v>
      </c>
      <c r="E24" s="1">
        <v>94758</v>
      </c>
      <c r="F24" s="1">
        <v>2749</v>
      </c>
      <c r="G24" s="1">
        <v>167575</v>
      </c>
    </row>
    <row r="25" spans="1:7" x14ac:dyDescent="0.25">
      <c r="B25" t="s">
        <v>46</v>
      </c>
      <c r="C25">
        <v>1993</v>
      </c>
      <c r="D25">
        <v>194315</v>
      </c>
      <c r="E25" s="1">
        <v>97499</v>
      </c>
      <c r="F25" s="1">
        <v>3089</v>
      </c>
      <c r="G25" s="1">
        <v>190440</v>
      </c>
    </row>
    <row r="26" spans="1:7" x14ac:dyDescent="0.25">
      <c r="B26" t="s">
        <v>47</v>
      </c>
      <c r="C26">
        <v>1676</v>
      </c>
      <c r="D26">
        <v>104062</v>
      </c>
      <c r="E26" s="1">
        <v>62089</v>
      </c>
      <c r="F26" s="1">
        <v>1654</v>
      </c>
      <c r="G26" s="1">
        <v>195710</v>
      </c>
    </row>
    <row r="27" spans="1:7" x14ac:dyDescent="0.25">
      <c r="A27" s="2" t="s">
        <v>39</v>
      </c>
      <c r="B27" t="s">
        <v>48</v>
      </c>
      <c r="C27">
        <v>16464</v>
      </c>
      <c r="D27">
        <v>1799750</v>
      </c>
      <c r="E27" s="1">
        <v>109314</v>
      </c>
      <c r="F27" s="1">
        <v>28606</v>
      </c>
      <c r="G27" s="1">
        <v>190737</v>
      </c>
    </row>
    <row r="28" spans="1:7" x14ac:dyDescent="0.25">
      <c r="B28" t="s">
        <v>49</v>
      </c>
      <c r="C28">
        <v>17711</v>
      </c>
      <c r="D28">
        <v>1911160</v>
      </c>
      <c r="E28" s="1">
        <v>107908</v>
      </c>
      <c r="F28" s="1">
        <v>30377</v>
      </c>
      <c r="G28" s="1">
        <v>188611</v>
      </c>
    </row>
    <row r="29" spans="1:7" x14ac:dyDescent="0.25">
      <c r="B29" t="s">
        <v>50</v>
      </c>
      <c r="C29">
        <v>16592</v>
      </c>
      <c r="D29">
        <v>1453733</v>
      </c>
      <c r="E29" s="1">
        <v>87617</v>
      </c>
      <c r="F29" s="1">
        <v>23106</v>
      </c>
      <c r="G29" s="1">
        <v>192718</v>
      </c>
    </row>
    <row r="30" spans="1:7" x14ac:dyDescent="0.25">
      <c r="B30" t="s">
        <v>51</v>
      </c>
      <c r="C30">
        <v>3976</v>
      </c>
      <c r="D30">
        <v>156185</v>
      </c>
      <c r="E30" s="1">
        <v>39282</v>
      </c>
      <c r="F30" s="1">
        <v>2482</v>
      </c>
      <c r="G30" s="1">
        <v>192386</v>
      </c>
    </row>
    <row r="31" spans="1:7" x14ac:dyDescent="0.25">
      <c r="B31" t="s">
        <v>52</v>
      </c>
      <c r="C31">
        <v>2437</v>
      </c>
      <c r="D31">
        <v>121804</v>
      </c>
      <c r="E31" s="1">
        <v>49981</v>
      </c>
      <c r="F31" s="1">
        <v>1936</v>
      </c>
      <c r="G31" s="1">
        <v>193312</v>
      </c>
    </row>
    <row r="32" spans="1:7" x14ac:dyDescent="0.25">
      <c r="B32" t="s">
        <v>53</v>
      </c>
      <c r="C32">
        <v>2671</v>
      </c>
      <c r="D32">
        <v>200947</v>
      </c>
      <c r="E32" s="1">
        <v>75233</v>
      </c>
      <c r="F32" s="1">
        <v>3194</v>
      </c>
      <c r="G32" s="1">
        <v>192267</v>
      </c>
    </row>
    <row r="33" spans="1:7" x14ac:dyDescent="0.25">
      <c r="A33" s="2" t="s">
        <v>40</v>
      </c>
      <c r="B33" t="s">
        <v>54</v>
      </c>
      <c r="C33">
        <v>19396</v>
      </c>
      <c r="D33">
        <v>926214</v>
      </c>
      <c r="E33" s="1">
        <v>47753</v>
      </c>
      <c r="F33" s="1">
        <v>14722</v>
      </c>
      <c r="G33" s="1">
        <v>175559</v>
      </c>
    </row>
    <row r="34" spans="1:7" x14ac:dyDescent="0.25">
      <c r="A34" s="2"/>
      <c r="B34" t="s">
        <v>55</v>
      </c>
      <c r="C34">
        <v>25387</v>
      </c>
      <c r="D34">
        <v>897567</v>
      </c>
      <c r="E34" s="1">
        <v>35355</v>
      </c>
      <c r="F34" s="1">
        <v>14266</v>
      </c>
      <c r="G34" s="1">
        <v>190108</v>
      </c>
    </row>
    <row r="35" spans="1:7" x14ac:dyDescent="0.25">
      <c r="B35" t="s">
        <v>56</v>
      </c>
      <c r="C35">
        <v>24649</v>
      </c>
      <c r="D35">
        <v>835909</v>
      </c>
      <c r="E35" s="1">
        <v>33912</v>
      </c>
      <c r="F35" s="1">
        <v>13286</v>
      </c>
      <c r="G35" s="1">
        <v>186298</v>
      </c>
    </row>
    <row r="36" spans="1:7" x14ac:dyDescent="0.25">
      <c r="B36" t="s">
        <v>57</v>
      </c>
      <c r="C36">
        <v>5191</v>
      </c>
      <c r="D36">
        <v>203404</v>
      </c>
      <c r="E36" s="1">
        <v>39184</v>
      </c>
      <c r="F36" s="1">
        <v>3233</v>
      </c>
      <c r="G36" s="1">
        <v>183947</v>
      </c>
    </row>
    <row r="37" spans="1:7" x14ac:dyDescent="0.25">
      <c r="B37" t="s">
        <v>58</v>
      </c>
      <c r="C37">
        <v>4837</v>
      </c>
      <c r="D37">
        <v>259268</v>
      </c>
      <c r="E37" s="1">
        <v>53601</v>
      </c>
      <c r="F37" s="1">
        <v>4121</v>
      </c>
      <c r="G37" s="1">
        <v>172534</v>
      </c>
    </row>
    <row r="38" spans="1:7" x14ac:dyDescent="0.25">
      <c r="B38" t="s">
        <v>59</v>
      </c>
      <c r="C38">
        <v>6172</v>
      </c>
      <c r="D38">
        <v>343994</v>
      </c>
      <c r="E38" s="1">
        <v>55735</v>
      </c>
      <c r="F38" s="1">
        <v>5468</v>
      </c>
      <c r="G38" s="1">
        <v>169823</v>
      </c>
    </row>
    <row r="39" spans="1:7" x14ac:dyDescent="0.25">
      <c r="A39" s="2" t="s">
        <v>41</v>
      </c>
      <c r="B39" t="s">
        <v>60</v>
      </c>
      <c r="C39">
        <v>11852</v>
      </c>
      <c r="D39">
        <v>1079201</v>
      </c>
      <c r="E39" s="1">
        <v>91056</v>
      </c>
      <c r="F39" s="1">
        <v>17153</v>
      </c>
      <c r="G39" s="1">
        <v>177836</v>
      </c>
    </row>
    <row r="40" spans="1:7" x14ac:dyDescent="0.25">
      <c r="B40" t="s">
        <v>61</v>
      </c>
      <c r="C40">
        <v>14504</v>
      </c>
      <c r="D40">
        <v>1631041</v>
      </c>
      <c r="E40" s="1">
        <v>112455</v>
      </c>
      <c r="F40" s="1">
        <v>25925</v>
      </c>
      <c r="G40" s="1">
        <v>173900</v>
      </c>
    </row>
    <row r="41" spans="1:7" x14ac:dyDescent="0.25">
      <c r="B41" t="s">
        <v>62</v>
      </c>
      <c r="C41">
        <v>10118</v>
      </c>
      <c r="D41">
        <v>1219593</v>
      </c>
      <c r="E41" s="1">
        <v>120537</v>
      </c>
      <c r="F41" s="1">
        <v>19385</v>
      </c>
      <c r="G41" s="1">
        <v>190645</v>
      </c>
    </row>
    <row r="42" spans="1:7" x14ac:dyDescent="0.25">
      <c r="B42" t="s">
        <v>63</v>
      </c>
      <c r="C42">
        <v>1138</v>
      </c>
      <c r="D42">
        <v>190122</v>
      </c>
      <c r="E42" s="1">
        <v>167067</v>
      </c>
      <c r="F42" s="1">
        <v>3022</v>
      </c>
      <c r="G42" s="1">
        <v>178280</v>
      </c>
    </row>
    <row r="43" spans="1:7" x14ac:dyDescent="0.25">
      <c r="B43" t="s">
        <v>64</v>
      </c>
      <c r="C43">
        <v>1720</v>
      </c>
      <c r="D43">
        <v>105018</v>
      </c>
      <c r="E43" s="1">
        <v>61057</v>
      </c>
      <c r="F43" s="1">
        <v>1669</v>
      </c>
      <c r="G43" s="1">
        <v>184679</v>
      </c>
    </row>
    <row r="44" spans="1:7" x14ac:dyDescent="0.25">
      <c r="B44" t="s">
        <v>65</v>
      </c>
      <c r="C44">
        <v>1234</v>
      </c>
      <c r="D44">
        <v>155787</v>
      </c>
      <c r="E44" s="1">
        <v>126246</v>
      </c>
      <c r="F44" s="1">
        <v>2476</v>
      </c>
      <c r="G44" s="1">
        <v>171198</v>
      </c>
    </row>
    <row r="45" spans="1:7" ht="18.75" x14ac:dyDescent="0.3">
      <c r="A45" s="4" t="s">
        <v>73</v>
      </c>
    </row>
    <row r="46" spans="1:7" x14ac:dyDescent="0.25">
      <c r="A46" s="3" t="s">
        <v>18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16</v>
      </c>
      <c r="G46" s="3" t="s">
        <v>17</v>
      </c>
    </row>
    <row r="47" spans="1:7" x14ac:dyDescent="0.25">
      <c r="A47" s="2" t="s">
        <v>19</v>
      </c>
      <c r="B47" t="s">
        <v>74</v>
      </c>
      <c r="C47">
        <v>1245</v>
      </c>
      <c r="D47">
        <v>124497</v>
      </c>
      <c r="E47" s="1">
        <v>99998</v>
      </c>
      <c r="F47" s="1">
        <v>1979</v>
      </c>
      <c r="G47" s="1">
        <v>206395</v>
      </c>
    </row>
    <row r="48" spans="1:7" x14ac:dyDescent="0.25">
      <c r="B48" t="s">
        <v>75</v>
      </c>
      <c r="C48">
        <v>1141</v>
      </c>
      <c r="D48">
        <v>153537</v>
      </c>
      <c r="E48" s="1">
        <v>134564</v>
      </c>
      <c r="F48" s="1">
        <v>2440</v>
      </c>
      <c r="G48" s="1">
        <v>199112</v>
      </c>
    </row>
    <row r="49" spans="1:7" x14ac:dyDescent="0.25">
      <c r="B49" t="s">
        <v>76</v>
      </c>
      <c r="C49">
        <v>1894</v>
      </c>
      <c r="D49">
        <v>109995</v>
      </c>
      <c r="E49" s="1">
        <v>58076</v>
      </c>
      <c r="F49" s="1">
        <v>1748</v>
      </c>
      <c r="G49" s="1">
        <v>179940</v>
      </c>
    </row>
    <row r="50" spans="1:7" x14ac:dyDescent="0.25">
      <c r="B50" t="s">
        <v>77</v>
      </c>
      <c r="C50">
        <v>2246</v>
      </c>
      <c r="D50">
        <v>228076</v>
      </c>
      <c r="E50" s="1">
        <v>101548</v>
      </c>
      <c r="F50" s="1">
        <v>3625</v>
      </c>
      <c r="G50" s="1">
        <v>194053</v>
      </c>
    </row>
    <row r="51" spans="1:7" x14ac:dyDescent="0.25">
      <c r="B51" t="s">
        <v>78</v>
      </c>
      <c r="C51">
        <v>2878</v>
      </c>
      <c r="D51">
        <v>260568</v>
      </c>
      <c r="E51" s="1">
        <v>90538</v>
      </c>
      <c r="F51" s="1">
        <v>4142</v>
      </c>
      <c r="G51" s="1">
        <v>203688</v>
      </c>
    </row>
    <row r="52" spans="1:7" x14ac:dyDescent="0.25">
      <c r="B52" t="s">
        <v>79</v>
      </c>
      <c r="C52">
        <v>2732</v>
      </c>
      <c r="D52">
        <v>323528</v>
      </c>
      <c r="E52" s="1">
        <v>118422</v>
      </c>
      <c r="F52" s="1">
        <v>5142</v>
      </c>
      <c r="G52" s="1">
        <v>196994</v>
      </c>
    </row>
    <row r="53" spans="1:7" x14ac:dyDescent="0.25">
      <c r="A53" s="2" t="s">
        <v>20</v>
      </c>
      <c r="B53" t="s">
        <v>80</v>
      </c>
      <c r="C53">
        <v>230</v>
      </c>
      <c r="D53">
        <v>54240</v>
      </c>
      <c r="E53" s="1">
        <v>235826</v>
      </c>
      <c r="F53" t="s">
        <v>81</v>
      </c>
      <c r="G53" s="1">
        <v>181910</v>
      </c>
    </row>
    <row r="54" spans="1:7" x14ac:dyDescent="0.25">
      <c r="B54" t="s">
        <v>82</v>
      </c>
      <c r="C54">
        <v>150</v>
      </c>
      <c r="D54">
        <v>33770</v>
      </c>
      <c r="E54" s="1">
        <v>225133</v>
      </c>
      <c r="F54" t="s">
        <v>83</v>
      </c>
      <c r="G54" s="1">
        <v>164111</v>
      </c>
    </row>
    <row r="55" spans="1:7" x14ac:dyDescent="0.25">
      <c r="B55" t="s">
        <v>84</v>
      </c>
      <c r="C55">
        <v>686</v>
      </c>
      <c r="D55">
        <v>53805</v>
      </c>
      <c r="E55" s="1">
        <v>78433</v>
      </c>
      <c r="F55" t="s">
        <v>85</v>
      </c>
      <c r="G55" s="1">
        <v>203049</v>
      </c>
    </row>
    <row r="56" spans="1:7" x14ac:dyDescent="0.25">
      <c r="B56" t="s">
        <v>86</v>
      </c>
      <c r="C56">
        <v>2251</v>
      </c>
      <c r="D56">
        <v>760148</v>
      </c>
      <c r="E56" s="1">
        <v>337693</v>
      </c>
      <c r="F56" s="1">
        <v>12082</v>
      </c>
      <c r="G56" s="1">
        <v>190214</v>
      </c>
    </row>
    <row r="57" spans="1:7" x14ac:dyDescent="0.25">
      <c r="B57" t="s">
        <v>87</v>
      </c>
      <c r="C57">
        <v>2703</v>
      </c>
      <c r="D57">
        <v>774802</v>
      </c>
      <c r="E57" s="1">
        <v>286645</v>
      </c>
      <c r="F57" s="1">
        <v>12315</v>
      </c>
      <c r="G57" s="1">
        <v>184128</v>
      </c>
    </row>
    <row r="58" spans="1:7" x14ac:dyDescent="0.25">
      <c r="B58" t="s">
        <v>88</v>
      </c>
      <c r="C58">
        <v>2057</v>
      </c>
      <c r="D58">
        <v>656012</v>
      </c>
      <c r="E58" s="1">
        <v>318917</v>
      </c>
      <c r="F58" s="1">
        <v>10427</v>
      </c>
      <c r="G58" s="1">
        <v>193853</v>
      </c>
    </row>
    <row r="59" spans="1:7" x14ac:dyDescent="0.25">
      <c r="A59" s="2" t="s">
        <v>21</v>
      </c>
      <c r="B59" t="s">
        <v>89</v>
      </c>
      <c r="C59">
        <v>705</v>
      </c>
      <c r="D59">
        <v>28432</v>
      </c>
      <c r="E59" s="1">
        <v>40329</v>
      </c>
      <c r="F59" t="s">
        <v>90</v>
      </c>
      <c r="G59" s="1">
        <v>196314</v>
      </c>
    </row>
    <row r="60" spans="1:7" x14ac:dyDescent="0.25">
      <c r="B60" t="s">
        <v>91</v>
      </c>
      <c r="C60">
        <v>686</v>
      </c>
      <c r="D60">
        <v>36969</v>
      </c>
      <c r="E60" s="1">
        <v>53891</v>
      </c>
      <c r="F60" t="s">
        <v>92</v>
      </c>
      <c r="G60" s="1">
        <v>176069</v>
      </c>
    </row>
    <row r="61" spans="1:7" x14ac:dyDescent="0.25">
      <c r="B61" t="s">
        <v>93</v>
      </c>
      <c r="C61">
        <v>300</v>
      </c>
      <c r="D61">
        <v>23941</v>
      </c>
      <c r="E61" s="1">
        <v>79803</v>
      </c>
      <c r="F61" t="s">
        <v>94</v>
      </c>
      <c r="G61" s="1">
        <v>160948</v>
      </c>
    </row>
    <row r="62" spans="1:7" x14ac:dyDescent="0.25">
      <c r="B62" t="s">
        <v>95</v>
      </c>
      <c r="C62">
        <v>1958</v>
      </c>
      <c r="D62">
        <v>108112</v>
      </c>
      <c r="E62" s="1">
        <v>55216</v>
      </c>
      <c r="F62" s="1">
        <v>1718</v>
      </c>
      <c r="G62" s="1">
        <v>187106</v>
      </c>
    </row>
    <row r="63" spans="1:7" x14ac:dyDescent="0.25">
      <c r="B63" t="s">
        <v>96</v>
      </c>
      <c r="C63">
        <v>1647</v>
      </c>
      <c r="D63">
        <v>89453</v>
      </c>
      <c r="E63" s="1">
        <v>54313</v>
      </c>
      <c r="F63" s="1">
        <v>1422</v>
      </c>
      <c r="G63" s="1">
        <v>187113</v>
      </c>
    </row>
    <row r="64" spans="1:7" x14ac:dyDescent="0.25">
      <c r="B64" t="s">
        <v>97</v>
      </c>
      <c r="C64">
        <v>1628</v>
      </c>
      <c r="D64">
        <v>110150</v>
      </c>
      <c r="E64" s="1">
        <v>67660</v>
      </c>
      <c r="F64" s="1">
        <v>1751</v>
      </c>
      <c r="G64" s="1">
        <v>177415</v>
      </c>
    </row>
    <row r="65" spans="1:8" x14ac:dyDescent="0.25">
      <c r="A65" s="2" t="s">
        <v>107</v>
      </c>
      <c r="B65" t="s">
        <v>98</v>
      </c>
      <c r="C65">
        <v>482</v>
      </c>
      <c r="D65">
        <v>10410</v>
      </c>
      <c r="E65" s="1">
        <v>21598</v>
      </c>
      <c r="F65" t="s">
        <v>99</v>
      </c>
      <c r="G65" s="1">
        <v>198774</v>
      </c>
    </row>
    <row r="66" spans="1:8" x14ac:dyDescent="0.25">
      <c r="B66" t="s">
        <v>100</v>
      </c>
      <c r="C66">
        <v>997</v>
      </c>
      <c r="D66">
        <v>10229</v>
      </c>
      <c r="E66" s="1">
        <v>10260</v>
      </c>
      <c r="F66" t="s">
        <v>101</v>
      </c>
      <c r="G66" s="1">
        <v>213490</v>
      </c>
    </row>
    <row r="67" spans="1:8" x14ac:dyDescent="0.25">
      <c r="B67" t="s">
        <v>102</v>
      </c>
      <c r="C67">
        <v>678</v>
      </c>
      <c r="D67">
        <v>14310</v>
      </c>
      <c r="E67" s="1">
        <v>21106</v>
      </c>
      <c r="F67" t="s">
        <v>103</v>
      </c>
      <c r="G67" s="1">
        <v>185946</v>
      </c>
    </row>
    <row r="68" spans="1:8" x14ac:dyDescent="0.25">
      <c r="B68" t="s">
        <v>104</v>
      </c>
      <c r="C68">
        <v>7399</v>
      </c>
      <c r="D68">
        <v>526529</v>
      </c>
      <c r="E68" s="1">
        <v>71162</v>
      </c>
      <c r="F68" s="1">
        <v>8369</v>
      </c>
      <c r="G68" s="1">
        <v>197982</v>
      </c>
    </row>
    <row r="69" spans="1:8" x14ac:dyDescent="0.25">
      <c r="B69" t="s">
        <v>105</v>
      </c>
      <c r="C69">
        <v>5199</v>
      </c>
      <c r="D69">
        <v>533795</v>
      </c>
      <c r="E69" s="1">
        <v>102673</v>
      </c>
      <c r="F69" s="1">
        <v>8484</v>
      </c>
      <c r="G69" s="1">
        <v>204804</v>
      </c>
    </row>
    <row r="70" spans="1:8" x14ac:dyDescent="0.25">
      <c r="B70" t="s">
        <v>106</v>
      </c>
      <c r="C70">
        <v>4790</v>
      </c>
      <c r="D70">
        <v>431103</v>
      </c>
      <c r="E70" s="1">
        <v>90001</v>
      </c>
      <c r="F70" s="1">
        <v>6852</v>
      </c>
      <c r="G70" s="1">
        <v>185973</v>
      </c>
    </row>
    <row r="71" spans="1:8" x14ac:dyDescent="0.25">
      <c r="A71" s="2" t="s">
        <v>38</v>
      </c>
      <c r="B71" t="s">
        <v>108</v>
      </c>
      <c r="C71">
        <v>1726</v>
      </c>
      <c r="D71">
        <v>190466</v>
      </c>
      <c r="E71" s="1">
        <v>110351</v>
      </c>
      <c r="F71" s="1">
        <v>3027</v>
      </c>
      <c r="G71" s="1">
        <v>168655</v>
      </c>
    </row>
    <row r="72" spans="1:8" x14ac:dyDescent="0.25">
      <c r="B72" t="s">
        <v>109</v>
      </c>
      <c r="C72">
        <v>1421</v>
      </c>
      <c r="D72">
        <v>54819</v>
      </c>
      <c r="E72" s="1">
        <v>38578</v>
      </c>
      <c r="F72" s="1">
        <v>1762</v>
      </c>
      <c r="G72" s="1">
        <v>202374</v>
      </c>
      <c r="H72" t="s">
        <v>114</v>
      </c>
    </row>
    <row r="73" spans="1:8" x14ac:dyDescent="0.25">
      <c r="B73" t="s">
        <v>110</v>
      </c>
      <c r="C73">
        <v>2625</v>
      </c>
      <c r="D73">
        <v>156170</v>
      </c>
      <c r="E73" s="1">
        <v>59493</v>
      </c>
      <c r="F73" s="1">
        <v>2482</v>
      </c>
      <c r="G73" s="1">
        <v>194086</v>
      </c>
    </row>
    <row r="74" spans="1:8" x14ac:dyDescent="0.25">
      <c r="B74" t="s">
        <v>111</v>
      </c>
      <c r="C74">
        <v>2311</v>
      </c>
      <c r="D74">
        <v>322147</v>
      </c>
      <c r="E74" s="1">
        <v>139397</v>
      </c>
      <c r="F74" s="1">
        <v>5120</v>
      </c>
      <c r="G74" s="1">
        <v>195821</v>
      </c>
    </row>
    <row r="75" spans="1:8" x14ac:dyDescent="0.25">
      <c r="B75" t="s">
        <v>112</v>
      </c>
      <c r="C75">
        <v>3262</v>
      </c>
      <c r="D75">
        <v>402145</v>
      </c>
      <c r="E75" s="1">
        <v>123282</v>
      </c>
      <c r="F75" s="1">
        <v>6392</v>
      </c>
      <c r="G75" s="1">
        <v>185800</v>
      </c>
    </row>
    <row r="76" spans="1:8" x14ac:dyDescent="0.25">
      <c r="B76" t="s">
        <v>113</v>
      </c>
      <c r="C76">
        <v>2351</v>
      </c>
      <c r="D76">
        <v>300142</v>
      </c>
      <c r="E76" s="1">
        <v>127666</v>
      </c>
      <c r="F76" s="1">
        <v>4771</v>
      </c>
      <c r="G76" s="1">
        <v>179890</v>
      </c>
    </row>
    <row r="77" spans="1:8" x14ac:dyDescent="0.25">
      <c r="A77" s="2" t="s">
        <v>39</v>
      </c>
      <c r="B77" t="s">
        <v>115</v>
      </c>
      <c r="C77">
        <v>1272</v>
      </c>
      <c r="D77">
        <v>179667</v>
      </c>
      <c r="E77" s="1">
        <v>141248</v>
      </c>
      <c r="F77" s="1">
        <v>2856</v>
      </c>
      <c r="G77" s="1">
        <v>188468</v>
      </c>
    </row>
    <row r="78" spans="1:8" x14ac:dyDescent="0.25">
      <c r="B78" t="s">
        <v>116</v>
      </c>
      <c r="C78">
        <v>2533</v>
      </c>
      <c r="D78">
        <v>154174</v>
      </c>
      <c r="E78" s="1">
        <v>60866</v>
      </c>
      <c r="F78" s="1">
        <v>2451</v>
      </c>
      <c r="G78" s="1">
        <v>187232</v>
      </c>
    </row>
    <row r="79" spans="1:8" x14ac:dyDescent="0.25">
      <c r="B79" t="s">
        <v>117</v>
      </c>
      <c r="C79">
        <v>2087</v>
      </c>
      <c r="D79">
        <v>147188</v>
      </c>
      <c r="E79" s="1">
        <v>70526</v>
      </c>
      <c r="F79" s="1">
        <v>2339</v>
      </c>
      <c r="G79" s="1">
        <v>190529</v>
      </c>
    </row>
    <row r="80" spans="1:8" x14ac:dyDescent="0.25">
      <c r="B80" t="s">
        <v>118</v>
      </c>
      <c r="C80">
        <v>9591</v>
      </c>
      <c r="D80">
        <v>2604642</v>
      </c>
      <c r="E80" s="1">
        <v>271571</v>
      </c>
      <c r="F80" s="1">
        <v>41400</v>
      </c>
      <c r="G80" s="1">
        <v>194045</v>
      </c>
    </row>
    <row r="81" spans="1:8" x14ac:dyDescent="0.25">
      <c r="B81" t="s">
        <v>119</v>
      </c>
      <c r="C81">
        <v>11592</v>
      </c>
      <c r="D81">
        <v>2447600</v>
      </c>
      <c r="E81" s="1">
        <v>211146</v>
      </c>
      <c r="F81" s="1">
        <v>38904</v>
      </c>
      <c r="G81" s="1">
        <v>201714</v>
      </c>
    </row>
    <row r="82" spans="1:8" x14ac:dyDescent="0.25">
      <c r="B82" t="s">
        <v>120</v>
      </c>
      <c r="C82">
        <v>10333</v>
      </c>
      <c r="D82">
        <v>2691283</v>
      </c>
      <c r="E82" s="1">
        <v>260455</v>
      </c>
      <c r="F82" s="1">
        <v>42777</v>
      </c>
      <c r="G82" s="1">
        <v>198311</v>
      </c>
    </row>
    <row r="83" spans="1:8" x14ac:dyDescent="0.25">
      <c r="A83" s="2" t="s">
        <v>40</v>
      </c>
      <c r="B83" t="s">
        <v>121</v>
      </c>
      <c r="C83">
        <v>5614</v>
      </c>
      <c r="D83">
        <v>214266</v>
      </c>
      <c r="E83" s="1">
        <v>38166</v>
      </c>
      <c r="F83" s="1">
        <v>3406</v>
      </c>
      <c r="G83" s="1">
        <v>188587</v>
      </c>
    </row>
    <row r="84" spans="1:8" x14ac:dyDescent="0.25">
      <c r="B84" t="s">
        <v>122</v>
      </c>
      <c r="C84">
        <v>7426</v>
      </c>
      <c r="D84">
        <v>351427</v>
      </c>
      <c r="E84" s="1">
        <v>47324</v>
      </c>
      <c r="F84" s="1">
        <v>5586</v>
      </c>
      <c r="G84" s="1">
        <v>187131</v>
      </c>
    </row>
    <row r="85" spans="1:8" x14ac:dyDescent="0.25">
      <c r="B85" t="s">
        <v>123</v>
      </c>
      <c r="C85">
        <v>4649</v>
      </c>
      <c r="D85">
        <v>129181</v>
      </c>
      <c r="E85" s="1">
        <v>27787</v>
      </c>
      <c r="F85" s="1">
        <v>2053</v>
      </c>
      <c r="G85" s="1">
        <v>172134</v>
      </c>
      <c r="H85" t="s">
        <v>127</v>
      </c>
    </row>
    <row r="86" spans="1:8" x14ac:dyDescent="0.25">
      <c r="B86" t="s">
        <v>124</v>
      </c>
      <c r="C86">
        <v>23954</v>
      </c>
      <c r="D86">
        <v>2844957</v>
      </c>
      <c r="E86" s="1">
        <v>118768</v>
      </c>
      <c r="F86" s="1">
        <v>45219</v>
      </c>
      <c r="G86" s="1">
        <v>179364</v>
      </c>
    </row>
    <row r="87" spans="1:8" x14ac:dyDescent="0.25">
      <c r="B87" t="s">
        <v>125</v>
      </c>
      <c r="C87">
        <v>15539</v>
      </c>
      <c r="D87">
        <v>3620169</v>
      </c>
      <c r="E87" s="1">
        <v>232973</v>
      </c>
      <c r="F87" s="1">
        <v>57541</v>
      </c>
      <c r="G87" s="1">
        <v>196792</v>
      </c>
    </row>
    <row r="88" spans="1:8" x14ac:dyDescent="0.25">
      <c r="B88" t="s">
        <v>126</v>
      </c>
      <c r="C88">
        <v>15408</v>
      </c>
      <c r="D88">
        <v>3208591</v>
      </c>
      <c r="E88" s="1">
        <v>208242</v>
      </c>
      <c r="F88" s="1">
        <v>50999</v>
      </c>
      <c r="G88" s="1">
        <v>176687</v>
      </c>
    </row>
    <row r="89" spans="1:8" x14ac:dyDescent="0.25">
      <c r="A89" s="2" t="s">
        <v>41</v>
      </c>
      <c r="B89" t="s">
        <v>128</v>
      </c>
      <c r="C89">
        <v>1748</v>
      </c>
      <c r="D89">
        <v>94256</v>
      </c>
      <c r="E89" s="1">
        <v>53922</v>
      </c>
      <c r="F89" s="1">
        <v>1498</v>
      </c>
      <c r="G89" s="1">
        <v>205808</v>
      </c>
    </row>
    <row r="90" spans="1:8" x14ac:dyDescent="0.25">
      <c r="B90" t="s">
        <v>129</v>
      </c>
      <c r="C90">
        <v>1569</v>
      </c>
      <c r="D90">
        <v>138396</v>
      </c>
      <c r="E90" s="1">
        <v>88207</v>
      </c>
      <c r="F90" s="1">
        <v>2200</v>
      </c>
      <c r="G90" s="1">
        <v>192294</v>
      </c>
    </row>
    <row r="91" spans="1:8" x14ac:dyDescent="0.25">
      <c r="B91" t="s">
        <v>130</v>
      </c>
      <c r="C91">
        <v>1692</v>
      </c>
      <c r="D91">
        <v>98977</v>
      </c>
      <c r="E91" s="1">
        <v>58497</v>
      </c>
      <c r="F91" s="1">
        <v>1573</v>
      </c>
      <c r="G91" s="1">
        <v>187479</v>
      </c>
    </row>
    <row r="92" spans="1:8" x14ac:dyDescent="0.25">
      <c r="B92" t="s">
        <v>131</v>
      </c>
      <c r="C92">
        <v>25398</v>
      </c>
      <c r="D92">
        <v>2309975</v>
      </c>
      <c r="E92" s="1">
        <v>90951</v>
      </c>
      <c r="F92" s="1">
        <v>36716</v>
      </c>
      <c r="G92" s="1">
        <v>191287</v>
      </c>
    </row>
    <row r="93" spans="1:8" x14ac:dyDescent="0.25">
      <c r="B93" t="s">
        <v>132</v>
      </c>
      <c r="C93">
        <v>19563</v>
      </c>
      <c r="D93">
        <v>1696002</v>
      </c>
      <c r="E93" s="1">
        <v>86694</v>
      </c>
      <c r="F93" s="1">
        <v>26957</v>
      </c>
      <c r="G93" s="1">
        <v>186695</v>
      </c>
    </row>
    <row r="94" spans="1:8" x14ac:dyDescent="0.25">
      <c r="B94" t="s">
        <v>133</v>
      </c>
      <c r="C94">
        <v>18937</v>
      </c>
      <c r="D94">
        <v>2094832</v>
      </c>
      <c r="E94" s="1">
        <v>110621</v>
      </c>
      <c r="F94" s="1">
        <v>33296</v>
      </c>
      <c r="G94" s="1">
        <v>189187</v>
      </c>
    </row>
    <row r="96" spans="1:8" ht="18.75" x14ac:dyDescent="0.3">
      <c r="A96" s="4" t="s">
        <v>139</v>
      </c>
      <c r="B96" s="5"/>
      <c r="C96" s="5"/>
      <c r="D96" s="5"/>
      <c r="E96" s="5"/>
      <c r="F96" s="5"/>
      <c r="G96" s="5"/>
    </row>
    <row r="97" spans="1:7" x14ac:dyDescent="0.25">
      <c r="A97" s="3" t="s">
        <v>18</v>
      </c>
      <c r="B97" s="3" t="s">
        <v>12</v>
      </c>
      <c r="C97" s="3" t="s">
        <v>13</v>
      </c>
      <c r="D97" s="3" t="s">
        <v>14</v>
      </c>
      <c r="E97" s="3" t="s">
        <v>15</v>
      </c>
      <c r="F97" s="3" t="s">
        <v>16</v>
      </c>
      <c r="G97" s="3" t="s">
        <v>17</v>
      </c>
    </row>
    <row r="98" spans="1:7" x14ac:dyDescent="0.25">
      <c r="A98" s="2" t="s">
        <v>19</v>
      </c>
      <c r="B98" s="5" t="s">
        <v>140</v>
      </c>
      <c r="C98" s="5">
        <v>423</v>
      </c>
      <c r="D98" s="5">
        <v>55990</v>
      </c>
      <c r="E98" s="1">
        <v>132.364</v>
      </c>
      <c r="F98" s="1">
        <v>0.89</v>
      </c>
      <c r="G98" s="1">
        <v>192.232</v>
      </c>
    </row>
    <row r="99" spans="1:7" x14ac:dyDescent="0.25">
      <c r="A99" s="5"/>
      <c r="B99" s="5" t="s">
        <v>141</v>
      </c>
      <c r="C99" s="5">
        <v>412</v>
      </c>
      <c r="D99" s="5">
        <v>47834</v>
      </c>
      <c r="E99" s="1">
        <v>116.102</v>
      </c>
      <c r="F99" s="1">
        <v>0.76</v>
      </c>
      <c r="G99" s="1">
        <v>198.58099999999999</v>
      </c>
    </row>
    <row r="100" spans="1:7" x14ac:dyDescent="0.25">
      <c r="A100" s="5"/>
      <c r="B100" s="5" t="s">
        <v>142</v>
      </c>
      <c r="C100" s="5">
        <v>797</v>
      </c>
      <c r="D100" s="5">
        <v>79312</v>
      </c>
      <c r="E100" s="1">
        <v>99.513000000000005</v>
      </c>
      <c r="F100" s="1">
        <v>1.2609999999999999</v>
      </c>
      <c r="G100" s="1">
        <v>186.393</v>
      </c>
    </row>
    <row r="101" spans="1:7" x14ac:dyDescent="0.25">
      <c r="A101" s="5"/>
      <c r="B101" s="5" t="s">
        <v>143</v>
      </c>
      <c r="C101" s="5">
        <v>229</v>
      </c>
      <c r="D101" s="5">
        <v>23284</v>
      </c>
      <c r="E101" s="1">
        <v>101.67700000000001</v>
      </c>
      <c r="F101" s="1">
        <v>0.37</v>
      </c>
      <c r="G101" s="1">
        <v>204.715</v>
      </c>
    </row>
    <row r="102" spans="1:7" x14ac:dyDescent="0.25">
      <c r="A102" s="5"/>
      <c r="B102" s="5" t="s">
        <v>144</v>
      </c>
      <c r="C102" s="5">
        <v>417</v>
      </c>
      <c r="D102" s="5">
        <v>23603</v>
      </c>
      <c r="E102" s="1">
        <v>56.601999999999997</v>
      </c>
      <c r="F102" s="1">
        <v>0.375</v>
      </c>
      <c r="G102" s="1">
        <v>206.07400000000001</v>
      </c>
    </row>
    <row r="103" spans="1:7" x14ac:dyDescent="0.25">
      <c r="A103" s="5"/>
      <c r="B103" s="5" t="s">
        <v>145</v>
      </c>
      <c r="C103" s="5">
        <v>268</v>
      </c>
      <c r="D103" s="5">
        <v>29534</v>
      </c>
      <c r="E103" s="1">
        <v>110.20099999999999</v>
      </c>
      <c r="F103" s="1">
        <v>0.46899999999999997</v>
      </c>
      <c r="G103" s="1">
        <v>196.495</v>
      </c>
    </row>
    <row r="104" spans="1:7" x14ac:dyDescent="0.25">
      <c r="A104" s="2" t="s">
        <v>20</v>
      </c>
      <c r="B104" s="5" t="s">
        <v>146</v>
      </c>
      <c r="C104" s="5">
        <v>1423</v>
      </c>
      <c r="D104" s="5">
        <v>225256</v>
      </c>
      <c r="E104" s="1">
        <v>158.297</v>
      </c>
      <c r="F104" s="5">
        <v>3.58</v>
      </c>
      <c r="G104" s="1">
        <v>173.86199999999999</v>
      </c>
    </row>
    <row r="105" spans="1:7" x14ac:dyDescent="0.25">
      <c r="A105" s="5"/>
      <c r="B105" s="5" t="s">
        <v>147</v>
      </c>
      <c r="C105" s="5">
        <v>1357</v>
      </c>
      <c r="D105" s="5">
        <v>121654</v>
      </c>
      <c r="E105" s="1">
        <v>89.649000000000001</v>
      </c>
      <c r="F105" s="5">
        <v>1.9339999999999999</v>
      </c>
      <c r="G105" s="1">
        <v>200.136</v>
      </c>
    </row>
    <row r="106" spans="1:7" x14ac:dyDescent="0.25">
      <c r="A106" s="5"/>
      <c r="B106" s="5" t="s">
        <v>148</v>
      </c>
      <c r="C106" s="5">
        <v>1649</v>
      </c>
      <c r="D106" s="5">
        <v>160386</v>
      </c>
      <c r="E106" s="1">
        <v>97.263000000000005</v>
      </c>
      <c r="F106" s="5">
        <v>2.5489999999999999</v>
      </c>
      <c r="G106" s="1">
        <v>194.667</v>
      </c>
    </row>
    <row r="107" spans="1:7" x14ac:dyDescent="0.25">
      <c r="A107" s="5"/>
      <c r="B107" s="5" t="s">
        <v>149</v>
      </c>
      <c r="C107" s="5">
        <v>1230</v>
      </c>
      <c r="D107" s="5">
        <v>190649</v>
      </c>
      <c r="E107" s="1">
        <v>154.999</v>
      </c>
      <c r="F107" s="1">
        <v>3.03</v>
      </c>
      <c r="G107" s="1">
        <v>169.30600000000001</v>
      </c>
    </row>
    <row r="108" spans="1:7" x14ac:dyDescent="0.25">
      <c r="A108" s="5"/>
      <c r="B108" s="5" t="s">
        <v>150</v>
      </c>
      <c r="C108" s="5">
        <v>837</v>
      </c>
      <c r="D108" s="5">
        <v>203184</v>
      </c>
      <c r="E108" s="1">
        <v>242.75299999999999</v>
      </c>
      <c r="F108" s="1">
        <v>3.23</v>
      </c>
      <c r="G108" s="1">
        <v>169.31899999999999</v>
      </c>
    </row>
    <row r="109" spans="1:7" x14ac:dyDescent="0.25">
      <c r="A109" s="5"/>
      <c r="B109" s="5" t="s">
        <v>151</v>
      </c>
      <c r="C109" s="5">
        <v>840</v>
      </c>
      <c r="D109" s="5">
        <v>107846</v>
      </c>
      <c r="E109" s="1">
        <v>128.38800000000001</v>
      </c>
      <c r="F109" s="1">
        <v>1.714</v>
      </c>
      <c r="G109" s="1">
        <v>189.422</v>
      </c>
    </row>
    <row r="110" spans="1:7" x14ac:dyDescent="0.25">
      <c r="A110" s="2" t="s">
        <v>21</v>
      </c>
      <c r="B110" s="5" t="s">
        <v>152</v>
      </c>
      <c r="C110" s="5">
        <v>2893</v>
      </c>
      <c r="D110" s="5">
        <v>427587</v>
      </c>
      <c r="E110" s="1">
        <v>147801</v>
      </c>
      <c r="F110" s="1">
        <v>6796</v>
      </c>
      <c r="G110" s="1">
        <v>178096</v>
      </c>
    </row>
    <row r="111" spans="1:7" x14ac:dyDescent="0.25">
      <c r="A111" s="5"/>
      <c r="B111" s="5" t="s">
        <v>153</v>
      </c>
      <c r="C111" s="5">
        <v>1974</v>
      </c>
      <c r="D111" s="5">
        <v>399716</v>
      </c>
      <c r="E111" s="1">
        <v>202490</v>
      </c>
      <c r="F111" s="1">
        <v>6353</v>
      </c>
      <c r="G111" s="1">
        <v>180456</v>
      </c>
    </row>
    <row r="112" spans="1:7" x14ac:dyDescent="0.25">
      <c r="A112" s="5"/>
      <c r="B112" s="5" t="s">
        <v>154</v>
      </c>
      <c r="C112" s="5">
        <v>2670</v>
      </c>
      <c r="D112" s="5">
        <v>425338</v>
      </c>
      <c r="E112" s="1">
        <v>159303</v>
      </c>
      <c r="F112" s="1">
        <v>6761</v>
      </c>
      <c r="G112" s="1">
        <v>189924</v>
      </c>
    </row>
    <row r="113" spans="1:7" x14ac:dyDescent="0.25">
      <c r="A113" s="5"/>
      <c r="B113" s="5" t="s">
        <v>155</v>
      </c>
      <c r="C113" s="5">
        <v>3152</v>
      </c>
      <c r="D113" s="5">
        <v>622156</v>
      </c>
      <c r="E113" s="1">
        <v>197385</v>
      </c>
      <c r="F113" s="1">
        <v>9889</v>
      </c>
      <c r="G113" s="1">
        <v>178251</v>
      </c>
    </row>
    <row r="114" spans="1:7" x14ac:dyDescent="0.25">
      <c r="A114" s="5"/>
      <c r="B114" s="5" t="s">
        <v>156</v>
      </c>
      <c r="C114" s="5">
        <v>7872</v>
      </c>
      <c r="D114" s="5">
        <v>502023</v>
      </c>
      <c r="E114" s="1">
        <v>63773</v>
      </c>
      <c r="F114" s="1">
        <v>7979</v>
      </c>
      <c r="G114" s="1">
        <v>175052</v>
      </c>
    </row>
    <row r="115" spans="1:7" x14ac:dyDescent="0.25">
      <c r="A115" s="5"/>
      <c r="B115" s="5" t="s">
        <v>157</v>
      </c>
      <c r="C115" s="5">
        <v>2712</v>
      </c>
      <c r="D115" s="5">
        <v>570944</v>
      </c>
      <c r="E115" s="1">
        <v>210525</v>
      </c>
      <c r="F115" s="1">
        <v>9075</v>
      </c>
      <c r="G115" s="1">
        <v>178141</v>
      </c>
    </row>
    <row r="116" spans="1:7" x14ac:dyDescent="0.25">
      <c r="A116" s="2" t="s">
        <v>38</v>
      </c>
      <c r="B116" s="5" t="s">
        <v>158</v>
      </c>
      <c r="C116" s="5">
        <v>2501</v>
      </c>
      <c r="D116" s="5">
        <v>146573</v>
      </c>
      <c r="E116" s="1">
        <v>58606</v>
      </c>
      <c r="F116" s="1">
        <v>2330</v>
      </c>
      <c r="G116" s="1">
        <v>165877</v>
      </c>
    </row>
    <row r="117" spans="1:7" x14ac:dyDescent="0.25">
      <c r="A117" s="5"/>
      <c r="B117" s="5" t="s">
        <v>159</v>
      </c>
      <c r="C117" s="5">
        <v>1702</v>
      </c>
      <c r="D117" s="5">
        <v>108643</v>
      </c>
      <c r="E117" s="1">
        <v>63833</v>
      </c>
      <c r="F117" s="1">
        <v>1727</v>
      </c>
      <c r="G117" s="1">
        <v>188829</v>
      </c>
    </row>
    <row r="118" spans="1:7" x14ac:dyDescent="0.25">
      <c r="A118" s="5"/>
      <c r="B118" s="5" t="s">
        <v>160</v>
      </c>
      <c r="C118" s="5">
        <v>1637</v>
      </c>
      <c r="D118" s="5">
        <v>99342</v>
      </c>
      <c r="E118" s="1">
        <v>60685</v>
      </c>
      <c r="F118" s="1">
        <v>1579</v>
      </c>
      <c r="G118" s="1">
        <v>191785</v>
      </c>
    </row>
    <row r="119" spans="1:7" x14ac:dyDescent="0.25">
      <c r="A119" s="5"/>
      <c r="B119" s="5" t="s">
        <v>161</v>
      </c>
      <c r="C119" s="5">
        <v>2225</v>
      </c>
      <c r="D119" s="5">
        <v>102103</v>
      </c>
      <c r="E119" s="1">
        <v>45889</v>
      </c>
      <c r="F119" s="1">
        <v>1623</v>
      </c>
      <c r="G119" s="1">
        <v>178550</v>
      </c>
    </row>
    <row r="120" spans="1:7" x14ac:dyDescent="0.25">
      <c r="A120" s="5"/>
      <c r="B120" s="5" t="s">
        <v>162</v>
      </c>
      <c r="C120" s="5">
        <v>2086</v>
      </c>
      <c r="D120" s="5">
        <v>89259</v>
      </c>
      <c r="E120" s="1">
        <v>42790</v>
      </c>
      <c r="F120" s="1">
        <v>1419</v>
      </c>
      <c r="G120" s="1">
        <v>184595</v>
      </c>
    </row>
    <row r="121" spans="1:7" x14ac:dyDescent="0.25">
      <c r="A121" s="5"/>
      <c r="B121" s="5" t="s">
        <v>163</v>
      </c>
      <c r="C121" s="5">
        <v>1542</v>
      </c>
      <c r="D121" s="5">
        <v>93754</v>
      </c>
      <c r="E121" s="1">
        <v>60800</v>
      </c>
      <c r="F121" s="1">
        <v>1490</v>
      </c>
      <c r="G121" s="1">
        <v>179992</v>
      </c>
    </row>
    <row r="122" spans="1:7" x14ac:dyDescent="0.25">
      <c r="A122" s="2" t="s">
        <v>39</v>
      </c>
      <c r="B122" s="5" t="s">
        <v>164</v>
      </c>
      <c r="C122" s="5">
        <v>33983</v>
      </c>
      <c r="D122" s="5">
        <v>1767293</v>
      </c>
      <c r="E122" s="1">
        <v>52005</v>
      </c>
      <c r="F122" s="1">
        <v>28090</v>
      </c>
      <c r="G122" s="1">
        <v>187190</v>
      </c>
    </row>
    <row r="123" spans="1:7" x14ac:dyDescent="0.25">
      <c r="A123" s="5"/>
      <c r="B123" s="5" t="s">
        <v>165</v>
      </c>
      <c r="C123" s="5">
        <v>33280</v>
      </c>
      <c r="D123" s="5">
        <v>1721593</v>
      </c>
      <c r="E123" s="1">
        <v>51731</v>
      </c>
      <c r="F123" s="1">
        <v>27364</v>
      </c>
      <c r="G123" s="1">
        <v>201246</v>
      </c>
    </row>
    <row r="124" spans="1:7" x14ac:dyDescent="0.25">
      <c r="A124" s="5"/>
      <c r="B124" s="5" t="s">
        <v>166</v>
      </c>
      <c r="C124" s="5">
        <v>24937</v>
      </c>
      <c r="D124" s="5">
        <v>2181194</v>
      </c>
      <c r="E124" s="1">
        <v>87468</v>
      </c>
      <c r="F124" s="1">
        <v>34669</v>
      </c>
      <c r="G124" s="1">
        <v>195351</v>
      </c>
    </row>
    <row r="125" spans="1:7" x14ac:dyDescent="0.25">
      <c r="A125" s="5"/>
      <c r="B125" s="5" t="s">
        <v>167</v>
      </c>
      <c r="C125" s="5">
        <v>16956</v>
      </c>
      <c r="D125" s="5">
        <v>1480430</v>
      </c>
      <c r="E125" s="1">
        <v>87310</v>
      </c>
      <c r="F125" s="1">
        <v>23531</v>
      </c>
      <c r="G125" s="1">
        <v>182202</v>
      </c>
    </row>
    <row r="126" spans="1:7" x14ac:dyDescent="0.25">
      <c r="A126" s="5"/>
      <c r="B126" s="5" t="s">
        <v>168</v>
      </c>
      <c r="C126" s="5">
        <v>12279</v>
      </c>
      <c r="D126" s="5">
        <v>834071</v>
      </c>
      <c r="E126" s="1">
        <v>67927</v>
      </c>
      <c r="F126" s="1">
        <v>13257</v>
      </c>
      <c r="G126" s="1">
        <v>189634</v>
      </c>
    </row>
    <row r="127" spans="1:7" x14ac:dyDescent="0.25">
      <c r="A127" s="5"/>
      <c r="B127" s="5" t="s">
        <v>169</v>
      </c>
      <c r="C127" s="5">
        <v>16851</v>
      </c>
      <c r="D127" s="5">
        <v>1066558</v>
      </c>
      <c r="E127" s="1">
        <v>63293</v>
      </c>
      <c r="F127" s="1">
        <v>16952</v>
      </c>
      <c r="G127" s="1">
        <v>198354</v>
      </c>
    </row>
    <row r="128" spans="1:7" x14ac:dyDescent="0.25">
      <c r="A128" s="2" t="s">
        <v>40</v>
      </c>
      <c r="B128" s="5" t="s">
        <v>170</v>
      </c>
      <c r="C128" s="5">
        <v>21489</v>
      </c>
      <c r="D128" s="5">
        <v>1361623</v>
      </c>
      <c r="E128" s="1">
        <v>63364</v>
      </c>
      <c r="F128" s="1">
        <v>21642</v>
      </c>
      <c r="G128" s="1">
        <v>185390</v>
      </c>
    </row>
    <row r="129" spans="1:7" x14ac:dyDescent="0.25">
      <c r="A129" s="5"/>
      <c r="B129" s="5" t="s">
        <v>171</v>
      </c>
      <c r="C129" s="5">
        <v>14833</v>
      </c>
      <c r="D129" s="5">
        <v>1089202</v>
      </c>
      <c r="E129" s="1">
        <v>73431</v>
      </c>
      <c r="F129" s="1">
        <v>17312</v>
      </c>
      <c r="G129" s="1">
        <v>175315</v>
      </c>
    </row>
    <row r="130" spans="1:7" x14ac:dyDescent="0.25">
      <c r="A130" s="5"/>
      <c r="B130" s="5" t="s">
        <v>172</v>
      </c>
      <c r="C130" s="5">
        <v>19532</v>
      </c>
      <c r="D130" s="5">
        <v>1564377</v>
      </c>
      <c r="E130" s="1">
        <v>80093</v>
      </c>
      <c r="F130" s="1">
        <v>24865</v>
      </c>
      <c r="G130" s="1">
        <v>175097</v>
      </c>
    </row>
    <row r="131" spans="1:7" x14ac:dyDescent="0.25">
      <c r="A131" s="5"/>
    </row>
    <row r="132" spans="1:7" x14ac:dyDescent="0.25">
      <c r="A132" s="5"/>
      <c r="B132" s="5" t="s">
        <v>173</v>
      </c>
      <c r="C132" s="5">
        <v>25409</v>
      </c>
      <c r="D132" s="5">
        <v>1699961</v>
      </c>
      <c r="E132" s="1">
        <v>66904</v>
      </c>
      <c r="F132" s="1">
        <v>27020</v>
      </c>
      <c r="G132" s="1">
        <v>192162</v>
      </c>
    </row>
    <row r="133" spans="1:7" x14ac:dyDescent="0.25">
      <c r="A133" s="5"/>
      <c r="B133" s="5" t="s">
        <v>174</v>
      </c>
      <c r="C133" s="5">
        <v>23386</v>
      </c>
      <c r="D133" s="5">
        <v>2125200</v>
      </c>
      <c r="E133" s="1">
        <v>90875</v>
      </c>
      <c r="F133" s="1">
        <v>33779</v>
      </c>
      <c r="G133" s="1">
        <v>180256</v>
      </c>
    </row>
    <row r="134" spans="1:7" x14ac:dyDescent="0.25">
      <c r="A134" s="2" t="s">
        <v>41</v>
      </c>
      <c r="B134" s="5" t="s">
        <v>175</v>
      </c>
      <c r="C134" s="5">
        <v>9686</v>
      </c>
      <c r="D134" s="5">
        <v>1529579</v>
      </c>
      <c r="E134" s="1">
        <v>157916</v>
      </c>
      <c r="F134" s="1">
        <v>24312</v>
      </c>
      <c r="G134" s="1">
        <v>188286</v>
      </c>
    </row>
    <row r="135" spans="1:7" x14ac:dyDescent="0.25">
      <c r="A135" s="5"/>
      <c r="B135" s="5" t="s">
        <v>176</v>
      </c>
      <c r="C135" s="5">
        <v>9339</v>
      </c>
      <c r="D135" s="5">
        <v>1497408</v>
      </c>
      <c r="E135" s="1">
        <v>160339</v>
      </c>
      <c r="F135" s="1">
        <v>23801</v>
      </c>
      <c r="G135" s="1">
        <v>182962</v>
      </c>
    </row>
    <row r="136" spans="1:7" x14ac:dyDescent="0.25">
      <c r="A136" s="5"/>
      <c r="B136" s="5" t="s">
        <v>177</v>
      </c>
      <c r="C136" s="5">
        <v>7867</v>
      </c>
      <c r="D136" s="5">
        <v>1259609</v>
      </c>
      <c r="E136" s="1">
        <v>160113</v>
      </c>
      <c r="F136" s="1">
        <v>20021</v>
      </c>
      <c r="G136" s="1">
        <v>179229</v>
      </c>
    </row>
    <row r="137" spans="1:7" x14ac:dyDescent="0.25">
      <c r="A137" s="5"/>
      <c r="B137" s="5" t="s">
        <v>178</v>
      </c>
      <c r="C137" s="5">
        <v>3640</v>
      </c>
      <c r="D137" s="5">
        <v>339086</v>
      </c>
      <c r="E137" s="1">
        <v>93155</v>
      </c>
      <c r="F137" s="1">
        <v>5390</v>
      </c>
      <c r="G137" s="1">
        <v>171993</v>
      </c>
    </row>
    <row r="138" spans="1:7" x14ac:dyDescent="0.25">
      <c r="A138" s="5"/>
      <c r="B138" s="5" t="s">
        <v>179</v>
      </c>
      <c r="C138" s="5">
        <v>5140</v>
      </c>
      <c r="D138" s="5">
        <v>376259</v>
      </c>
      <c r="E138" s="1">
        <v>73202</v>
      </c>
      <c r="F138" s="1">
        <v>5980</v>
      </c>
      <c r="G138" s="1">
        <v>196041</v>
      </c>
    </row>
    <row r="139" spans="1:7" x14ac:dyDescent="0.25">
      <c r="A139" s="5"/>
      <c r="B139" s="5" t="s">
        <v>180</v>
      </c>
      <c r="C139" s="5">
        <v>3972</v>
      </c>
      <c r="D139" s="5">
        <v>386695</v>
      </c>
      <c r="E139" s="1">
        <v>97355</v>
      </c>
      <c r="F139" s="1">
        <v>6146</v>
      </c>
      <c r="G139" s="1">
        <v>177381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0153-3CD1-418D-A66F-299BF4766ACA}">
  <dimension ref="A1:N133"/>
  <sheetViews>
    <sheetView zoomScaleNormal="130" workbookViewId="0">
      <selection activeCell="N2" sqref="N2"/>
    </sheetView>
  </sheetViews>
  <sheetFormatPr defaultRowHeight="15" x14ac:dyDescent="0.25"/>
  <sheetData>
    <row r="1" spans="1:14" ht="15.75" x14ac:dyDescent="0.25">
      <c r="A1" s="3" t="s">
        <v>18</v>
      </c>
      <c r="B1" s="3" t="s">
        <v>66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J1" s="10" t="s">
        <v>138</v>
      </c>
      <c r="K1" s="10" t="s">
        <v>134</v>
      </c>
      <c r="L1" s="10" t="s">
        <v>135</v>
      </c>
      <c r="M1" s="10" t="s">
        <v>136</v>
      </c>
      <c r="N1" s="10" t="s">
        <v>137</v>
      </c>
    </row>
    <row r="2" spans="1:14" ht="16.5" thickBot="1" x14ac:dyDescent="0.3">
      <c r="A2" s="2" t="s">
        <v>19</v>
      </c>
      <c r="B2" t="s">
        <v>67</v>
      </c>
      <c r="C2">
        <v>42467</v>
      </c>
      <c r="J2" s="9" t="s">
        <v>37</v>
      </c>
      <c r="K2" s="11" t="s">
        <v>19</v>
      </c>
      <c r="L2" s="12">
        <v>48971.333333333336</v>
      </c>
      <c r="M2" s="12">
        <v>13777.666666666666</v>
      </c>
      <c r="N2" s="10">
        <f>1-(M2/L2)</f>
        <v>0.71865853492519438</v>
      </c>
    </row>
    <row r="3" spans="1:14" ht="16.5" thickBot="1" x14ac:dyDescent="0.3">
      <c r="A3" s="2" t="s">
        <v>19</v>
      </c>
      <c r="B3" t="s">
        <v>67</v>
      </c>
      <c r="C3">
        <v>54673</v>
      </c>
      <c r="J3" s="9" t="s">
        <v>37</v>
      </c>
      <c r="K3" s="11" t="s">
        <v>20</v>
      </c>
      <c r="L3" s="12">
        <v>171278.33333333334</v>
      </c>
      <c r="M3" s="12">
        <v>36302</v>
      </c>
      <c r="N3" s="10">
        <f t="shared" ref="N3:N25" si="0">1-(M3/L3)</f>
        <v>0.78805258497377562</v>
      </c>
    </row>
    <row r="4" spans="1:14" ht="16.5" thickBot="1" x14ac:dyDescent="0.3">
      <c r="A4" s="2" t="s">
        <v>19</v>
      </c>
      <c r="B4" t="s">
        <v>67</v>
      </c>
      <c r="C4">
        <v>49774</v>
      </c>
      <c r="D4">
        <f>AVERAGE(C2:C4)</f>
        <v>48971.333333333336</v>
      </c>
      <c r="E4">
        <f>_xlfn.STDEV.P(C2:C4)</f>
        <v>5015.2975540395964</v>
      </c>
      <c r="F4">
        <f>E4/SQRT(3)</f>
        <v>2895.5833928908328</v>
      </c>
      <c r="G4">
        <f>F4/D4</f>
        <v>5.9128130597985884E-2</v>
      </c>
      <c r="J4" s="9" t="s">
        <v>37</v>
      </c>
      <c r="K4" s="11" t="s">
        <v>21</v>
      </c>
      <c r="L4" s="12">
        <v>588378</v>
      </c>
      <c r="M4" s="12">
        <v>94622.666666666672</v>
      </c>
      <c r="N4" s="10">
        <f t="shared" si="0"/>
        <v>0.8391804814818592</v>
      </c>
    </row>
    <row r="5" spans="1:14" ht="16.5" thickBot="1" x14ac:dyDescent="0.3">
      <c r="A5" s="2" t="s">
        <v>19</v>
      </c>
      <c r="B5" t="s">
        <v>37</v>
      </c>
      <c r="C5">
        <v>15221</v>
      </c>
      <c r="J5" s="9" t="s">
        <v>37</v>
      </c>
      <c r="K5" s="11" t="s">
        <v>107</v>
      </c>
      <c r="L5" s="12"/>
      <c r="M5" s="12"/>
      <c r="N5" s="10"/>
    </row>
    <row r="6" spans="1:14" ht="16.5" thickBot="1" x14ac:dyDescent="0.3">
      <c r="A6" s="2" t="s">
        <v>19</v>
      </c>
      <c r="B6" t="s">
        <v>37</v>
      </c>
      <c r="C6">
        <v>11520</v>
      </c>
      <c r="J6" s="9" t="s">
        <v>37</v>
      </c>
      <c r="K6" s="11" t="s">
        <v>38</v>
      </c>
      <c r="L6" s="12">
        <v>102304.66666666667</v>
      </c>
      <c r="M6" s="12">
        <v>157103.66666666666</v>
      </c>
      <c r="N6" s="10">
        <f t="shared" si="0"/>
        <v>-0.53564516444345966</v>
      </c>
    </row>
    <row r="7" spans="1:14" ht="16.5" thickBot="1" x14ac:dyDescent="0.3">
      <c r="A7" s="2" t="s">
        <v>19</v>
      </c>
      <c r="B7" t="s">
        <v>37</v>
      </c>
      <c r="C7">
        <v>14592</v>
      </c>
      <c r="D7">
        <f>AVERAGE(C5:C7)</f>
        <v>13777.666666666666</v>
      </c>
      <c r="E7">
        <f t="shared" ref="E7" si="1">_xlfn.STDEV.P(C5:C7)</f>
        <v>1616.9321431512071</v>
      </c>
      <c r="F7">
        <f>E7/SQRT(3)</f>
        <v>933.53620810970801</v>
      </c>
      <c r="G7">
        <f t="shared" ref="G7" si="2">F7/D7</f>
        <v>6.7757206695113453E-2</v>
      </c>
      <c r="J7" s="9" t="s">
        <v>37</v>
      </c>
      <c r="K7" s="11" t="s">
        <v>39</v>
      </c>
      <c r="L7" s="12">
        <v>1721547.6666666667</v>
      </c>
      <c r="M7" s="12">
        <v>159645.33333333334</v>
      </c>
      <c r="N7" s="10">
        <f t="shared" si="0"/>
        <v>0.90726638801558979</v>
      </c>
    </row>
    <row r="8" spans="1:14" ht="16.5" thickBot="1" x14ac:dyDescent="0.3">
      <c r="A8" s="2" t="s">
        <v>20</v>
      </c>
      <c r="B8" t="s">
        <v>67</v>
      </c>
      <c r="C8">
        <v>157282</v>
      </c>
      <c r="J8" s="9" t="s">
        <v>37</v>
      </c>
      <c r="K8" s="11" t="s">
        <v>40</v>
      </c>
      <c r="L8" s="12">
        <v>886563.33333333337</v>
      </c>
      <c r="M8" s="12">
        <v>268888.66666666669</v>
      </c>
      <c r="N8" s="10">
        <f>1-(M8/L8)</f>
        <v>0.69670675905838642</v>
      </c>
    </row>
    <row r="9" spans="1:14" ht="16.5" thickBot="1" x14ac:dyDescent="0.3">
      <c r="A9" s="2" t="s">
        <v>20</v>
      </c>
      <c r="B9" t="s">
        <v>67</v>
      </c>
      <c r="C9">
        <v>167020</v>
      </c>
      <c r="J9" s="9" t="s">
        <v>37</v>
      </c>
      <c r="K9" s="11" t="s">
        <v>41</v>
      </c>
      <c r="L9" s="9">
        <v>1309945</v>
      </c>
      <c r="M9" s="12">
        <v>150309</v>
      </c>
      <c r="N9" s="10">
        <f>1-(M9/L9)</f>
        <v>0.88525548782582475</v>
      </c>
    </row>
    <row r="10" spans="1:14" ht="15.75" x14ac:dyDescent="0.25">
      <c r="A10" s="2" t="s">
        <v>20</v>
      </c>
      <c r="B10" t="s">
        <v>67</v>
      </c>
      <c r="C10">
        <v>189533</v>
      </c>
      <c r="D10">
        <f t="shared" ref="D10" si="3">AVERAGE(C8:C10)</f>
        <v>171278.33333333334</v>
      </c>
      <c r="E10">
        <f t="shared" ref="E10" si="4">_xlfn.STDEV.P(C8:C10)</f>
        <v>13506.339309952033</v>
      </c>
      <c r="F10">
        <f t="shared" ref="F10" si="5">E10/SQRT(3)</f>
        <v>7797.8886363672309</v>
      </c>
      <c r="G10">
        <f t="shared" ref="G10" si="6">F10/D10</f>
        <v>4.5527583580530114E-2</v>
      </c>
      <c r="J10" s="9" t="s">
        <v>73</v>
      </c>
      <c r="K10" s="11" t="s">
        <v>19</v>
      </c>
      <c r="L10" s="9">
        <v>270724</v>
      </c>
      <c r="M10" s="9">
        <v>129343</v>
      </c>
      <c r="N10" s="10">
        <f>1-(M10/L10)</f>
        <v>0.52223297528109813</v>
      </c>
    </row>
    <row r="11" spans="1:14" ht="15.75" x14ac:dyDescent="0.25">
      <c r="A11" s="2" t="s">
        <v>20</v>
      </c>
      <c r="B11" t="s">
        <v>37</v>
      </c>
      <c r="C11">
        <v>37187</v>
      </c>
      <c r="J11" s="9" t="s">
        <v>73</v>
      </c>
      <c r="K11" s="11" t="s">
        <v>20</v>
      </c>
      <c r="L11" s="9">
        <v>730320.66666666663</v>
      </c>
      <c r="M11" s="9">
        <v>47271.666666666664</v>
      </c>
      <c r="N11" s="10">
        <f t="shared" si="0"/>
        <v>0.93527272494913194</v>
      </c>
    </row>
    <row r="12" spans="1:14" ht="15.75" x14ac:dyDescent="0.25">
      <c r="A12" s="2" t="s">
        <v>20</v>
      </c>
      <c r="B12" t="s">
        <v>37</v>
      </c>
      <c r="C12">
        <v>29550</v>
      </c>
      <c r="J12" s="9" t="s">
        <v>73</v>
      </c>
      <c r="K12" s="11" t="s">
        <v>21</v>
      </c>
      <c r="L12" s="9">
        <v>102571.66666666667</v>
      </c>
      <c r="M12" s="9">
        <v>29780.666666666668</v>
      </c>
      <c r="N12" s="10">
        <f t="shared" si="0"/>
        <v>0.70965991258144712</v>
      </c>
    </row>
    <row r="13" spans="1:14" ht="15.75" x14ac:dyDescent="0.25">
      <c r="A13" s="2" t="s">
        <v>20</v>
      </c>
      <c r="B13" t="s">
        <v>37</v>
      </c>
      <c r="C13">
        <v>42169</v>
      </c>
      <c r="D13">
        <f t="shared" ref="D13" si="7">AVERAGE(C11:C13)</f>
        <v>36302</v>
      </c>
      <c r="E13">
        <f t="shared" ref="E13" si="8">_xlfn.STDEV.P(C11:C13)</f>
        <v>5189.5541876606958</v>
      </c>
      <c r="F13">
        <f t="shared" ref="F13" si="9">E13/SQRT(3)</f>
        <v>2996.1905072200525</v>
      </c>
      <c r="G13">
        <f t="shared" ref="G13" si="10">F13/D13</f>
        <v>8.2535136004078358E-2</v>
      </c>
      <c r="J13" s="9" t="s">
        <v>73</v>
      </c>
      <c r="K13" s="11" t="s">
        <v>107</v>
      </c>
      <c r="L13" s="9">
        <v>497142.33333333331</v>
      </c>
      <c r="M13" s="9">
        <v>11649.666666666666</v>
      </c>
      <c r="N13" s="10">
        <f>1-(M13/L13)</f>
        <v>0.9765667377618884</v>
      </c>
    </row>
    <row r="14" spans="1:14" ht="15.75" x14ac:dyDescent="0.25">
      <c r="A14" s="2" t="s">
        <v>21</v>
      </c>
      <c r="B14" t="s">
        <v>67</v>
      </c>
      <c r="C14">
        <v>538022</v>
      </c>
      <c r="J14" s="9" t="s">
        <v>73</v>
      </c>
      <c r="K14" s="11" t="s">
        <v>38</v>
      </c>
      <c r="L14" s="9">
        <v>341478</v>
      </c>
      <c r="M14" s="9">
        <v>152091.33333333334</v>
      </c>
      <c r="N14" s="10">
        <f t="shared" si="0"/>
        <v>0.55460869123828371</v>
      </c>
    </row>
    <row r="15" spans="1:14" ht="15.75" x14ac:dyDescent="0.25">
      <c r="A15" s="2" t="s">
        <v>21</v>
      </c>
      <c r="B15" t="s">
        <v>67</v>
      </c>
      <c r="C15">
        <v>621329</v>
      </c>
      <c r="J15" s="9" t="s">
        <v>73</v>
      </c>
      <c r="K15" s="11" t="s">
        <v>39</v>
      </c>
      <c r="L15" s="9">
        <v>2581175</v>
      </c>
      <c r="M15" s="9">
        <v>160343</v>
      </c>
      <c r="N15" s="10">
        <f t="shared" si="0"/>
        <v>0.93787984154503279</v>
      </c>
    </row>
    <row r="16" spans="1:14" ht="15.75" x14ac:dyDescent="0.25">
      <c r="A16" s="2" t="s">
        <v>21</v>
      </c>
      <c r="B16" t="s">
        <v>67</v>
      </c>
      <c r="C16">
        <v>605783</v>
      </c>
      <c r="D16">
        <f t="shared" ref="D16" si="11">AVERAGE(C14:C16)</f>
        <v>588378</v>
      </c>
      <c r="E16">
        <f t="shared" ref="E16" si="12">_xlfn.STDEV.P(C14:C16)</f>
        <v>36168.260312047081</v>
      </c>
      <c r="F16">
        <f t="shared" ref="F16" si="13">E16/SQRT(3)</f>
        <v>20881.754827280842</v>
      </c>
      <c r="G16">
        <f t="shared" ref="G16" si="14">F16/D16</f>
        <v>3.5490373241828965E-2</v>
      </c>
      <c r="J16" s="9" t="s">
        <v>73</v>
      </c>
      <c r="K16" s="11" t="s">
        <v>40</v>
      </c>
      <c r="L16" s="9">
        <v>3224572.3333333335</v>
      </c>
      <c r="M16" s="9">
        <v>282846.5</v>
      </c>
      <c r="N16" s="10">
        <f t="shared" si="0"/>
        <v>0.91228402691540389</v>
      </c>
    </row>
    <row r="17" spans="1:14" ht="15.75" x14ac:dyDescent="0.25">
      <c r="A17" s="2" t="s">
        <v>21</v>
      </c>
      <c r="B17" t="s">
        <v>37</v>
      </c>
      <c r="C17">
        <v>75010</v>
      </c>
      <c r="J17" s="9" t="s">
        <v>73</v>
      </c>
      <c r="K17" s="11" t="s">
        <v>41</v>
      </c>
      <c r="L17" s="9">
        <v>2033603</v>
      </c>
      <c r="M17" s="9">
        <v>110543</v>
      </c>
      <c r="N17" s="10">
        <f t="shared" si="0"/>
        <v>0.94564179930891135</v>
      </c>
    </row>
    <row r="18" spans="1:14" ht="15.75" x14ac:dyDescent="0.25">
      <c r="A18" s="2" t="s">
        <v>21</v>
      </c>
      <c r="B18" t="s">
        <v>37</v>
      </c>
      <c r="C18">
        <v>102355</v>
      </c>
      <c r="J18" s="5" t="s">
        <v>139</v>
      </c>
      <c r="K18" s="11" t="s">
        <v>19</v>
      </c>
      <c r="L18" s="9">
        <v>61045.333333333336</v>
      </c>
      <c r="M18" s="9">
        <v>25473.666666666668</v>
      </c>
      <c r="N18" s="10">
        <f t="shared" si="0"/>
        <v>0.58270902498689492</v>
      </c>
    </row>
    <row r="19" spans="1:14" ht="15.75" x14ac:dyDescent="0.25">
      <c r="A19" s="2" t="s">
        <v>21</v>
      </c>
      <c r="B19" t="s">
        <v>37</v>
      </c>
      <c r="C19">
        <v>106503</v>
      </c>
      <c r="D19">
        <f t="shared" ref="D19" si="15">AVERAGE(C17:C19)</f>
        <v>94622.666666666672</v>
      </c>
      <c r="E19">
        <f t="shared" ref="E19" si="16">_xlfn.STDEV.P(C17:C19)</f>
        <v>13971.256119460253</v>
      </c>
      <c r="F19">
        <f t="shared" ref="F19" si="17">E19/SQRT(3)</f>
        <v>8066.3084814875838</v>
      </c>
      <c r="G19">
        <f t="shared" ref="G19" si="18">F19/D19</f>
        <v>8.524710585364588E-2</v>
      </c>
      <c r="J19" s="5" t="s">
        <v>139</v>
      </c>
      <c r="K19" s="11" t="s">
        <v>20</v>
      </c>
      <c r="L19" s="9">
        <v>169098.66666666666</v>
      </c>
      <c r="M19" s="9">
        <v>167226.33333333334</v>
      </c>
      <c r="N19" s="10">
        <f t="shared" si="0"/>
        <v>1.1072431085598855E-2</v>
      </c>
    </row>
    <row r="20" spans="1:14" ht="15.75" x14ac:dyDescent="0.25">
      <c r="A20" s="2" t="s">
        <v>38</v>
      </c>
      <c r="B20" t="s">
        <v>67</v>
      </c>
      <c r="C20">
        <v>100191</v>
      </c>
      <c r="J20" s="5" t="s">
        <v>139</v>
      </c>
      <c r="K20" s="11" t="s">
        <v>21</v>
      </c>
      <c r="L20" s="9">
        <v>417547</v>
      </c>
      <c r="M20" s="9">
        <v>565041</v>
      </c>
      <c r="N20" s="10">
        <f t="shared" si="0"/>
        <v>-0.35323927605754557</v>
      </c>
    </row>
    <row r="21" spans="1:14" ht="15.75" x14ac:dyDescent="0.25">
      <c r="A21" s="2" t="s">
        <v>38</v>
      </c>
      <c r="B21" t="s">
        <v>67</v>
      </c>
      <c r="C21">
        <v>112251</v>
      </c>
      <c r="J21" s="5" t="s">
        <v>139</v>
      </c>
      <c r="K21" s="11" t="s">
        <v>107</v>
      </c>
      <c r="L21" s="9"/>
      <c r="M21" s="9"/>
      <c r="N21" s="10"/>
    </row>
    <row r="22" spans="1:14" ht="15.75" x14ac:dyDescent="0.25">
      <c r="A22" s="2" t="s">
        <v>38</v>
      </c>
      <c r="B22" t="s">
        <v>67</v>
      </c>
      <c r="C22">
        <v>94472</v>
      </c>
      <c r="D22">
        <f t="shared" ref="D22" si="19">AVERAGE(C20:C22)</f>
        <v>102304.66666666667</v>
      </c>
      <c r="E22">
        <f t="shared" ref="E22" si="20">_xlfn.STDEV.P(C20:C22)</f>
        <v>7410.5285611456593</v>
      </c>
      <c r="F22">
        <f t="shared" ref="F22" si="21">E22/SQRT(3)</f>
        <v>4278.4706596148571</v>
      </c>
      <c r="G22">
        <f t="shared" ref="G22" si="22">F22/D22</f>
        <v>4.1820874834137808E-2</v>
      </c>
      <c r="J22" s="5" t="s">
        <v>139</v>
      </c>
      <c r="K22" s="11" t="s">
        <v>38</v>
      </c>
      <c r="L22" s="9">
        <v>118186</v>
      </c>
      <c r="M22" s="9">
        <v>95038.666666666672</v>
      </c>
      <c r="N22" s="10">
        <f t="shared" si="0"/>
        <v>0.19585512102392266</v>
      </c>
    </row>
    <row r="23" spans="1:14" ht="15.75" x14ac:dyDescent="0.25">
      <c r="A23" s="2" t="s">
        <v>38</v>
      </c>
      <c r="B23" t="s">
        <v>37</v>
      </c>
      <c r="C23">
        <v>172934</v>
      </c>
      <c r="J23" s="5" t="s">
        <v>139</v>
      </c>
      <c r="K23" s="11" t="s">
        <v>39</v>
      </c>
      <c r="L23" s="9">
        <v>1890026.6666666667</v>
      </c>
      <c r="M23" s="9">
        <v>1127019.6666666667</v>
      </c>
      <c r="N23" s="10">
        <f t="shared" si="0"/>
        <v>0.40370171143969746</v>
      </c>
    </row>
    <row r="24" spans="1:14" ht="15.75" x14ac:dyDescent="0.25">
      <c r="A24" s="2" t="s">
        <v>38</v>
      </c>
      <c r="B24" t="s">
        <v>37</v>
      </c>
      <c r="C24">
        <v>194315</v>
      </c>
      <c r="J24" s="5" t="s">
        <v>139</v>
      </c>
      <c r="K24" s="11" t="s">
        <v>40</v>
      </c>
      <c r="L24" s="9">
        <v>1338400.6666666667</v>
      </c>
      <c r="M24" s="9">
        <v>1912580.5</v>
      </c>
      <c r="N24" s="10">
        <f t="shared" si="0"/>
        <v>-0.42900444361205237</v>
      </c>
    </row>
    <row r="25" spans="1:14" ht="15.75" x14ac:dyDescent="0.25">
      <c r="A25" s="2" t="s">
        <v>38</v>
      </c>
      <c r="B25" t="s">
        <v>37</v>
      </c>
      <c r="C25">
        <v>104062</v>
      </c>
      <c r="D25">
        <f t="shared" ref="D25" si="23">AVERAGE(C23:C25)</f>
        <v>157103.66666666666</v>
      </c>
      <c r="E25">
        <f t="shared" ref="E25" si="24">_xlfn.STDEV.P(C23:C25)</f>
        <v>38508.445760493749</v>
      </c>
      <c r="F25">
        <f t="shared" ref="F25" si="25">E25/SQRT(3)</f>
        <v>22232.861525895169</v>
      </c>
      <c r="G25">
        <f t="shared" ref="G25" si="26">F25/D25</f>
        <v>0.14151713959081266</v>
      </c>
      <c r="J25" s="5" t="s">
        <v>139</v>
      </c>
      <c r="K25" s="11" t="s">
        <v>41</v>
      </c>
      <c r="L25" s="9">
        <v>1428865.3333333333</v>
      </c>
      <c r="M25" s="9">
        <v>367346.66666666669</v>
      </c>
      <c r="N25" s="10">
        <f t="shared" si="0"/>
        <v>0.74291022526965445</v>
      </c>
    </row>
    <row r="26" spans="1:14" x14ac:dyDescent="0.25">
      <c r="A26" s="2" t="s">
        <v>39</v>
      </c>
      <c r="B26" t="s">
        <v>67</v>
      </c>
      <c r="C26">
        <v>1799750</v>
      </c>
    </row>
    <row r="27" spans="1:14" x14ac:dyDescent="0.25">
      <c r="A27" s="2" t="s">
        <v>39</v>
      </c>
      <c r="B27" t="s">
        <v>67</v>
      </c>
      <c r="C27">
        <v>1911160</v>
      </c>
    </row>
    <row r="28" spans="1:14" x14ac:dyDescent="0.25">
      <c r="A28" s="2" t="s">
        <v>39</v>
      </c>
      <c r="B28" t="s">
        <v>67</v>
      </c>
      <c r="C28">
        <v>1453733</v>
      </c>
      <c r="D28">
        <f t="shared" ref="D28" si="27">AVERAGE(C26:C28)</f>
        <v>1721547.6666666667</v>
      </c>
      <c r="E28">
        <f t="shared" ref="E28" si="28">_xlfn.STDEV.P(C26:C28)</f>
        <v>194758.94294628824</v>
      </c>
      <c r="F28">
        <f t="shared" ref="F28" si="29">E28/SQRT(3)</f>
        <v>112444.12813712649</v>
      </c>
      <c r="G28">
        <f t="shared" ref="G28" si="30">F28/D28</f>
        <v>6.531572161161564E-2</v>
      </c>
    </row>
    <row r="29" spans="1:14" x14ac:dyDescent="0.25">
      <c r="A29" s="2" t="s">
        <v>39</v>
      </c>
      <c r="B29" t="s">
        <v>37</v>
      </c>
      <c r="C29">
        <v>156185</v>
      </c>
    </row>
    <row r="30" spans="1:14" x14ac:dyDescent="0.25">
      <c r="A30" s="2" t="s">
        <v>39</v>
      </c>
      <c r="B30" t="s">
        <v>37</v>
      </c>
      <c r="C30">
        <v>121804</v>
      </c>
    </row>
    <row r="31" spans="1:14" x14ac:dyDescent="0.25">
      <c r="A31" s="2" t="s">
        <v>39</v>
      </c>
      <c r="B31" t="s">
        <v>37</v>
      </c>
      <c r="C31">
        <v>200947</v>
      </c>
      <c r="D31">
        <f t="shared" ref="D31" si="31">AVERAGE(C29:C31)</f>
        <v>159645.33333333334</v>
      </c>
      <c r="E31">
        <f t="shared" ref="E31" si="32">_xlfn.STDEV.P(C29:C31)</f>
        <v>32402.510626321673</v>
      </c>
      <c r="F31">
        <f t="shared" ref="F31" si="33">E31/SQRT(3)</f>
        <v>18707.598232526529</v>
      </c>
      <c r="G31">
        <f t="shared" ref="G31" si="34">F31/D31</f>
        <v>0.11718224292510812</v>
      </c>
    </row>
    <row r="32" spans="1:14" x14ac:dyDescent="0.25">
      <c r="A32" s="2" t="s">
        <v>40</v>
      </c>
      <c r="B32" t="s">
        <v>67</v>
      </c>
      <c r="C32">
        <v>926214</v>
      </c>
    </row>
    <row r="33" spans="1:7" x14ac:dyDescent="0.25">
      <c r="A33" s="2" t="s">
        <v>40</v>
      </c>
      <c r="B33" t="s">
        <v>67</v>
      </c>
      <c r="C33">
        <v>897567</v>
      </c>
    </row>
    <row r="34" spans="1:7" x14ac:dyDescent="0.25">
      <c r="A34" s="2" t="s">
        <v>40</v>
      </c>
      <c r="B34" t="s">
        <v>67</v>
      </c>
      <c r="C34">
        <v>835909</v>
      </c>
      <c r="D34">
        <f t="shared" ref="D34" si="35">AVERAGE(C32:C34)</f>
        <v>886563.33333333337</v>
      </c>
      <c r="E34">
        <f t="shared" ref="E34" si="36">_xlfn.STDEV.P(C32:C34)</f>
        <v>37678.984118766028</v>
      </c>
      <c r="F34">
        <f t="shared" ref="F34" si="37">E34/SQRT(3)</f>
        <v>21753.971623761201</v>
      </c>
      <c r="G34">
        <f t="shared" ref="G34" si="38">F34/D34</f>
        <v>2.4537414086334725E-2</v>
      </c>
    </row>
    <row r="35" spans="1:7" x14ac:dyDescent="0.25">
      <c r="A35" s="2" t="s">
        <v>40</v>
      </c>
      <c r="B35" t="s">
        <v>37</v>
      </c>
      <c r="C35">
        <v>203404</v>
      </c>
    </row>
    <row r="36" spans="1:7" x14ac:dyDescent="0.25">
      <c r="A36" s="2" t="s">
        <v>40</v>
      </c>
      <c r="B36" t="s">
        <v>37</v>
      </c>
      <c r="C36">
        <v>259268</v>
      </c>
    </row>
    <row r="37" spans="1:7" x14ac:dyDescent="0.25">
      <c r="A37" s="2" t="s">
        <v>40</v>
      </c>
      <c r="B37" t="s">
        <v>37</v>
      </c>
      <c r="C37">
        <v>343994</v>
      </c>
      <c r="D37">
        <f t="shared" ref="D37" si="39">AVERAGE(C35:C37)</f>
        <v>268888.66666666669</v>
      </c>
      <c r="E37">
        <f t="shared" ref="E37" si="40">_xlfn.STDEV.P(C35:C37)</f>
        <v>57797.375634385186</v>
      </c>
      <c r="F37">
        <f t="shared" ref="F37" si="41">E37/SQRT(3)</f>
        <v>33369.330380966203</v>
      </c>
      <c r="G37">
        <f t="shared" ref="G37" si="42">F37/D37</f>
        <v>0.1241009180291454</v>
      </c>
    </row>
    <row r="38" spans="1:7" x14ac:dyDescent="0.25">
      <c r="A38" s="2" t="s">
        <v>41</v>
      </c>
      <c r="B38" t="s">
        <v>67</v>
      </c>
      <c r="C38">
        <v>1079201</v>
      </c>
    </row>
    <row r="39" spans="1:7" x14ac:dyDescent="0.25">
      <c r="A39" s="2" t="s">
        <v>41</v>
      </c>
      <c r="B39" t="s">
        <v>67</v>
      </c>
      <c r="C39">
        <v>1631041</v>
      </c>
    </row>
    <row r="40" spans="1:7" x14ac:dyDescent="0.25">
      <c r="A40" s="2" t="s">
        <v>41</v>
      </c>
      <c r="B40" t="s">
        <v>67</v>
      </c>
      <c r="C40">
        <v>1219593</v>
      </c>
      <c r="D40">
        <f t="shared" ref="D40" si="43">AVERAGE(C38:C40)</f>
        <v>1309945</v>
      </c>
      <c r="E40">
        <f t="shared" ref="E40" si="44">_xlfn.STDEV.P(C38:C40)</f>
        <v>234171.53161446989</v>
      </c>
      <c r="F40">
        <f t="shared" ref="F40" si="45">E40/SQRT(3)</f>
        <v>135198.99681416116</v>
      </c>
      <c r="G40">
        <f t="shared" ref="G40" si="46">F40/D40</f>
        <v>0.10320967431011314</v>
      </c>
    </row>
    <row r="41" spans="1:7" x14ac:dyDescent="0.25">
      <c r="A41" s="2" t="s">
        <v>41</v>
      </c>
      <c r="B41" t="s">
        <v>37</v>
      </c>
      <c r="C41">
        <v>190122</v>
      </c>
    </row>
    <row r="42" spans="1:7" x14ac:dyDescent="0.25">
      <c r="A42" s="2" t="s">
        <v>41</v>
      </c>
      <c r="B42" t="s">
        <v>37</v>
      </c>
      <c r="C42">
        <v>105018</v>
      </c>
    </row>
    <row r="43" spans="1:7" x14ac:dyDescent="0.25">
      <c r="A43" s="2" t="s">
        <v>41</v>
      </c>
      <c r="B43" t="s">
        <v>37</v>
      </c>
      <c r="C43">
        <v>155787</v>
      </c>
      <c r="D43">
        <f t="shared" ref="D43" si="47">AVERAGE(C41:C43)</f>
        <v>150309</v>
      </c>
      <c r="E43">
        <f t="shared" ref="E43" si="48">_xlfn.STDEV.P(C41:C43)</f>
        <v>34958.824036285892</v>
      </c>
      <c r="F43">
        <f t="shared" ref="F43" si="49">E43/SQRT(3)</f>
        <v>20183.486467902421</v>
      </c>
      <c r="G43">
        <f t="shared" ref="G43" si="50">F43/D43</f>
        <v>0.13427995973562742</v>
      </c>
    </row>
    <row r="44" spans="1:7" x14ac:dyDescent="0.25">
      <c r="A44" s="2" t="s">
        <v>19</v>
      </c>
      <c r="B44" t="s">
        <v>73</v>
      </c>
      <c r="C44">
        <v>124497</v>
      </c>
    </row>
    <row r="45" spans="1:7" x14ac:dyDescent="0.25">
      <c r="A45" s="2" t="s">
        <v>19</v>
      </c>
      <c r="B45" t="s">
        <v>73</v>
      </c>
      <c r="C45">
        <v>153537</v>
      </c>
    </row>
    <row r="46" spans="1:7" x14ac:dyDescent="0.25">
      <c r="A46" s="2" t="s">
        <v>19</v>
      </c>
      <c r="B46" t="s">
        <v>73</v>
      </c>
      <c r="C46">
        <v>109995</v>
      </c>
      <c r="D46">
        <f t="shared" ref="D46:D91" si="51">AVERAGE(C44:C46)</f>
        <v>129343</v>
      </c>
      <c r="E46">
        <f t="shared" ref="E46:E88" si="52">_xlfn.STDEV.P(C44:C46)</f>
        <v>18103.208334436193</v>
      </c>
      <c r="F46">
        <f t="shared" ref="F46:F88" si="53">E46/SQRT(3)</f>
        <v>10451.892205082613</v>
      </c>
      <c r="G46">
        <f t="shared" ref="G46:G88" si="54">F46/D46</f>
        <v>8.0807559783541538E-2</v>
      </c>
    </row>
    <row r="47" spans="1:7" x14ac:dyDescent="0.25">
      <c r="A47" s="2" t="s">
        <v>19</v>
      </c>
      <c r="B47" t="s">
        <v>67</v>
      </c>
      <c r="C47">
        <v>228076</v>
      </c>
    </row>
    <row r="48" spans="1:7" x14ac:dyDescent="0.25">
      <c r="A48" s="2" t="s">
        <v>19</v>
      </c>
      <c r="B48" t="s">
        <v>67</v>
      </c>
      <c r="C48">
        <v>260568</v>
      </c>
    </row>
    <row r="49" spans="1:7" x14ac:dyDescent="0.25">
      <c r="A49" s="2" t="s">
        <v>19</v>
      </c>
      <c r="B49" t="s">
        <v>67</v>
      </c>
      <c r="C49">
        <v>323528</v>
      </c>
      <c r="D49">
        <f t="shared" si="51"/>
        <v>270724</v>
      </c>
      <c r="E49">
        <f t="shared" ref="E49:E91" si="55">_xlfn.STDEV.P(C47:C49)</f>
        <v>39624.313478805743</v>
      </c>
      <c r="F49">
        <f t="shared" ref="F49:F91" si="56">E49/SQRT(3)</f>
        <v>22877.108053442615</v>
      </c>
      <c r="G49">
        <f t="shared" ref="G49:G91" si="57">F49/D49</f>
        <v>8.4503435430337226E-2</v>
      </c>
    </row>
    <row r="50" spans="1:7" x14ac:dyDescent="0.25">
      <c r="A50" s="2" t="s">
        <v>20</v>
      </c>
      <c r="B50" t="s">
        <v>73</v>
      </c>
      <c r="C50">
        <v>54240</v>
      </c>
    </row>
    <row r="51" spans="1:7" x14ac:dyDescent="0.25">
      <c r="A51" s="2" t="s">
        <v>20</v>
      </c>
      <c r="B51" t="s">
        <v>73</v>
      </c>
      <c r="C51">
        <v>33770</v>
      </c>
    </row>
    <row r="52" spans="1:7" x14ac:dyDescent="0.25">
      <c r="A52" s="2" t="s">
        <v>20</v>
      </c>
      <c r="B52" t="s">
        <v>73</v>
      </c>
      <c r="C52">
        <v>53805</v>
      </c>
      <c r="D52">
        <f t="shared" si="51"/>
        <v>47271.666666666664</v>
      </c>
      <c r="E52">
        <f t="shared" si="52"/>
        <v>9548.7715905706373</v>
      </c>
      <c r="F52">
        <f t="shared" si="53"/>
        <v>5512.9858482462087</v>
      </c>
      <c r="G52">
        <f t="shared" si="54"/>
        <v>0.11662347103436609</v>
      </c>
    </row>
    <row r="53" spans="1:7" x14ac:dyDescent="0.25">
      <c r="A53" s="2" t="s">
        <v>20</v>
      </c>
      <c r="B53" t="s">
        <v>67</v>
      </c>
      <c r="C53">
        <v>760148</v>
      </c>
    </row>
    <row r="54" spans="1:7" x14ac:dyDescent="0.25">
      <c r="A54" s="2" t="s">
        <v>20</v>
      </c>
      <c r="B54" t="s">
        <v>67</v>
      </c>
      <c r="C54">
        <v>774802</v>
      </c>
    </row>
    <row r="55" spans="1:7" x14ac:dyDescent="0.25">
      <c r="A55" s="2" t="s">
        <v>20</v>
      </c>
      <c r="B55" t="s">
        <v>67</v>
      </c>
      <c r="C55">
        <v>656012</v>
      </c>
      <c r="D55">
        <f t="shared" si="51"/>
        <v>730320.66666666663</v>
      </c>
      <c r="E55">
        <f t="shared" si="55"/>
        <v>52883.635687758411</v>
      </c>
      <c r="F55">
        <f t="shared" si="56"/>
        <v>30532.381300053421</v>
      </c>
      <c r="G55">
        <f t="shared" si="57"/>
        <v>4.1806815408099399E-2</v>
      </c>
    </row>
    <row r="56" spans="1:7" x14ac:dyDescent="0.25">
      <c r="A56" s="2" t="s">
        <v>21</v>
      </c>
      <c r="B56" t="s">
        <v>73</v>
      </c>
      <c r="C56">
        <v>28432</v>
      </c>
    </row>
    <row r="57" spans="1:7" x14ac:dyDescent="0.25">
      <c r="A57" s="2" t="s">
        <v>21</v>
      </c>
      <c r="B57" t="s">
        <v>73</v>
      </c>
      <c r="C57">
        <v>36969</v>
      </c>
    </row>
    <row r="58" spans="1:7" x14ac:dyDescent="0.25">
      <c r="A58" s="2" t="s">
        <v>21</v>
      </c>
      <c r="B58" t="s">
        <v>73</v>
      </c>
      <c r="C58">
        <v>23941</v>
      </c>
      <c r="D58">
        <f t="shared" si="51"/>
        <v>29780.666666666668</v>
      </c>
      <c r="E58">
        <f t="shared" si="52"/>
        <v>5403.4786531969903</v>
      </c>
      <c r="F58">
        <f t="shared" si="53"/>
        <v>3119.699854983679</v>
      </c>
      <c r="G58">
        <f t="shared" si="54"/>
        <v>0.10475587702257658</v>
      </c>
    </row>
    <row r="59" spans="1:7" x14ac:dyDescent="0.25">
      <c r="A59" s="2" t="s">
        <v>21</v>
      </c>
      <c r="B59" t="s">
        <v>67</v>
      </c>
      <c r="C59">
        <v>108112</v>
      </c>
    </row>
    <row r="60" spans="1:7" x14ac:dyDescent="0.25">
      <c r="A60" s="2" t="s">
        <v>21</v>
      </c>
      <c r="B60" t="s">
        <v>67</v>
      </c>
      <c r="C60">
        <v>89453</v>
      </c>
    </row>
    <row r="61" spans="1:7" x14ac:dyDescent="0.25">
      <c r="A61" s="2" t="s">
        <v>21</v>
      </c>
      <c r="B61" t="s">
        <v>67</v>
      </c>
      <c r="C61">
        <v>110150</v>
      </c>
      <c r="D61">
        <f t="shared" si="51"/>
        <v>102571.66666666667</v>
      </c>
      <c r="E61">
        <f t="shared" si="55"/>
        <v>9313.5357529899575</v>
      </c>
      <c r="F61">
        <f t="shared" si="56"/>
        <v>5377.172374095956</v>
      </c>
      <c r="G61">
        <f t="shared" si="57"/>
        <v>5.2423564409560364E-2</v>
      </c>
    </row>
    <row r="62" spans="1:7" x14ac:dyDescent="0.25">
      <c r="A62" s="2" t="s">
        <v>107</v>
      </c>
      <c r="B62" t="s">
        <v>73</v>
      </c>
      <c r="C62">
        <v>10410</v>
      </c>
    </row>
    <row r="63" spans="1:7" x14ac:dyDescent="0.25">
      <c r="A63" s="2" t="s">
        <v>107</v>
      </c>
      <c r="B63" t="s">
        <v>73</v>
      </c>
      <c r="C63">
        <v>10229</v>
      </c>
    </row>
    <row r="64" spans="1:7" x14ac:dyDescent="0.25">
      <c r="A64" s="2" t="s">
        <v>107</v>
      </c>
      <c r="B64" t="s">
        <v>73</v>
      </c>
      <c r="C64">
        <v>14310</v>
      </c>
      <c r="D64">
        <f t="shared" si="51"/>
        <v>11649.666666666666</v>
      </c>
      <c r="E64">
        <f t="shared" si="52"/>
        <v>1882.5904729624256</v>
      </c>
      <c r="F64">
        <f t="shared" si="53"/>
        <v>1086.9141163386814</v>
      </c>
      <c r="G64">
        <f t="shared" si="54"/>
        <v>9.3300018570375245E-2</v>
      </c>
    </row>
    <row r="65" spans="1:7" x14ac:dyDescent="0.25">
      <c r="A65" s="2" t="s">
        <v>107</v>
      </c>
      <c r="B65" t="s">
        <v>67</v>
      </c>
      <c r="C65">
        <v>526529</v>
      </c>
    </row>
    <row r="66" spans="1:7" x14ac:dyDescent="0.25">
      <c r="A66" s="2" t="s">
        <v>107</v>
      </c>
      <c r="B66" t="s">
        <v>67</v>
      </c>
      <c r="C66">
        <v>533795</v>
      </c>
    </row>
    <row r="67" spans="1:7" x14ac:dyDescent="0.25">
      <c r="A67" s="2" t="s">
        <v>107</v>
      </c>
      <c r="B67" t="s">
        <v>67</v>
      </c>
      <c r="C67">
        <v>431103</v>
      </c>
      <c r="D67">
        <f t="shared" si="51"/>
        <v>497142.33333333331</v>
      </c>
      <c r="E67">
        <f t="shared" si="55"/>
        <v>46790.980963809212</v>
      </c>
      <c r="F67">
        <f t="shared" si="56"/>
        <v>27014.785455101905</v>
      </c>
      <c r="G67">
        <f t="shared" si="57"/>
        <v>5.4340142940489687E-2</v>
      </c>
    </row>
    <row r="68" spans="1:7" x14ac:dyDescent="0.25">
      <c r="A68" s="2" t="s">
        <v>38</v>
      </c>
      <c r="B68" t="s">
        <v>73</v>
      </c>
      <c r="C68">
        <v>190466</v>
      </c>
    </row>
    <row r="69" spans="1:7" x14ac:dyDescent="0.25">
      <c r="A69" s="2" t="s">
        <v>38</v>
      </c>
      <c r="B69" t="s">
        <v>73</v>
      </c>
      <c r="C69">
        <f>54819*2</f>
        <v>109638</v>
      </c>
    </row>
    <row r="70" spans="1:7" x14ac:dyDescent="0.25">
      <c r="A70" s="2" t="s">
        <v>38</v>
      </c>
      <c r="B70" t="s">
        <v>73</v>
      </c>
      <c r="C70">
        <v>156170</v>
      </c>
      <c r="D70">
        <f t="shared" si="51"/>
        <v>152091.33333333334</v>
      </c>
      <c r="E70">
        <f t="shared" si="52"/>
        <v>33123.687771073368</v>
      </c>
      <c r="F70">
        <f t="shared" si="53"/>
        <v>19123.970051182325</v>
      </c>
      <c r="G70">
        <f t="shared" si="54"/>
        <v>0.12574003812083742</v>
      </c>
    </row>
    <row r="71" spans="1:7" x14ac:dyDescent="0.25">
      <c r="A71" s="2" t="s">
        <v>38</v>
      </c>
      <c r="B71" t="s">
        <v>67</v>
      </c>
      <c r="C71">
        <v>322147</v>
      </c>
    </row>
    <row r="72" spans="1:7" x14ac:dyDescent="0.25">
      <c r="A72" s="2" t="s">
        <v>38</v>
      </c>
      <c r="B72" t="s">
        <v>67</v>
      </c>
      <c r="C72">
        <v>402145</v>
      </c>
    </row>
    <row r="73" spans="1:7" x14ac:dyDescent="0.25">
      <c r="A73" s="2" t="s">
        <v>38</v>
      </c>
      <c r="B73" t="s">
        <v>67</v>
      </c>
      <c r="C73">
        <v>300142</v>
      </c>
      <c r="D73">
        <f t="shared" si="51"/>
        <v>341478</v>
      </c>
      <c r="E73">
        <f t="shared" si="55"/>
        <v>43828.595482857992</v>
      </c>
      <c r="F73">
        <f t="shared" si="56"/>
        <v>25304.451400231279</v>
      </c>
      <c r="G73">
        <f t="shared" si="57"/>
        <v>7.410272814128957E-2</v>
      </c>
    </row>
    <row r="74" spans="1:7" x14ac:dyDescent="0.25">
      <c r="A74" s="2" t="s">
        <v>39</v>
      </c>
      <c r="B74" t="s">
        <v>73</v>
      </c>
      <c r="C74">
        <v>179667</v>
      </c>
    </row>
    <row r="75" spans="1:7" x14ac:dyDescent="0.25">
      <c r="A75" s="2" t="s">
        <v>39</v>
      </c>
      <c r="B75" t="s">
        <v>73</v>
      </c>
      <c r="C75">
        <v>154174</v>
      </c>
    </row>
    <row r="76" spans="1:7" x14ac:dyDescent="0.25">
      <c r="A76" s="2" t="s">
        <v>39</v>
      </c>
      <c r="B76" t="s">
        <v>73</v>
      </c>
      <c r="C76">
        <v>147188</v>
      </c>
      <c r="D76">
        <f t="shared" si="51"/>
        <v>160343</v>
      </c>
      <c r="E76">
        <f t="shared" si="52"/>
        <v>13958.600240234215</v>
      </c>
      <c r="F76">
        <f t="shared" si="53"/>
        <v>8059.0016062095992</v>
      </c>
      <c r="G76">
        <f t="shared" si="54"/>
        <v>5.0261012992207948E-2</v>
      </c>
    </row>
    <row r="77" spans="1:7" x14ac:dyDescent="0.25">
      <c r="A77" s="2" t="s">
        <v>39</v>
      </c>
      <c r="B77" t="s">
        <v>67</v>
      </c>
      <c r="C77">
        <v>2604642</v>
      </c>
    </row>
    <row r="78" spans="1:7" x14ac:dyDescent="0.25">
      <c r="A78" s="2" t="s">
        <v>39</v>
      </c>
      <c r="B78" t="s">
        <v>67</v>
      </c>
      <c r="C78">
        <v>2447600</v>
      </c>
    </row>
    <row r="79" spans="1:7" x14ac:dyDescent="0.25">
      <c r="A79" s="2" t="s">
        <v>39</v>
      </c>
      <c r="B79" t="s">
        <v>67</v>
      </c>
      <c r="C79">
        <v>2691283</v>
      </c>
      <c r="D79">
        <f t="shared" si="51"/>
        <v>2581175</v>
      </c>
      <c r="E79">
        <f t="shared" si="55"/>
        <v>100857.57677371922</v>
      </c>
      <c r="F79">
        <f t="shared" si="56"/>
        <v>58230.149100120143</v>
      </c>
      <c r="G79">
        <f t="shared" si="57"/>
        <v>2.2559551018478074E-2</v>
      </c>
    </row>
    <row r="80" spans="1:7" x14ac:dyDescent="0.25">
      <c r="A80" s="2" t="s">
        <v>40</v>
      </c>
      <c r="B80" t="s">
        <v>73</v>
      </c>
      <c r="C80">
        <v>214266</v>
      </c>
    </row>
    <row r="81" spans="1:7" x14ac:dyDescent="0.25">
      <c r="A81" s="2" t="s">
        <v>40</v>
      </c>
      <c r="B81" t="s">
        <v>73</v>
      </c>
      <c r="C81">
        <v>351427</v>
      </c>
    </row>
    <row r="82" spans="1:7" x14ac:dyDescent="0.25">
      <c r="A82" s="2" t="s">
        <v>40</v>
      </c>
      <c r="B82" t="s">
        <v>73</v>
      </c>
      <c r="D82">
        <f t="shared" si="51"/>
        <v>282846.5</v>
      </c>
      <c r="E82">
        <f t="shared" si="52"/>
        <v>68580.5</v>
      </c>
      <c r="F82">
        <f t="shared" si="53"/>
        <v>39594.970136159129</v>
      </c>
      <c r="G82">
        <f t="shared" si="54"/>
        <v>0.13998748485895751</v>
      </c>
    </row>
    <row r="83" spans="1:7" x14ac:dyDescent="0.25">
      <c r="A83" s="2" t="s">
        <v>40</v>
      </c>
      <c r="B83" t="s">
        <v>67</v>
      </c>
      <c r="C83">
        <v>2844957</v>
      </c>
    </row>
    <row r="84" spans="1:7" x14ac:dyDescent="0.25">
      <c r="A84" s="2" t="s">
        <v>40</v>
      </c>
      <c r="B84" t="s">
        <v>67</v>
      </c>
      <c r="C84">
        <v>3620169</v>
      </c>
    </row>
    <row r="85" spans="1:7" x14ac:dyDescent="0.25">
      <c r="A85" s="2" t="s">
        <v>40</v>
      </c>
      <c r="B85" t="s">
        <v>67</v>
      </c>
      <c r="C85">
        <v>3208591</v>
      </c>
      <c r="D85">
        <f t="shared" si="51"/>
        <v>3224572.3333333335</v>
      </c>
      <c r="E85">
        <f t="shared" si="55"/>
        <v>316680.66302121378</v>
      </c>
      <c r="F85">
        <f t="shared" si="56"/>
        <v>182835.66604244694</v>
      </c>
      <c r="G85">
        <f t="shared" si="57"/>
        <v>5.6700748856653632E-2</v>
      </c>
    </row>
    <row r="86" spans="1:7" x14ac:dyDescent="0.25">
      <c r="A86" s="2" t="s">
        <v>41</v>
      </c>
      <c r="B86" s="5" t="s">
        <v>73</v>
      </c>
      <c r="C86">
        <v>94256</v>
      </c>
    </row>
    <row r="87" spans="1:7" x14ac:dyDescent="0.25">
      <c r="A87" s="2" t="s">
        <v>41</v>
      </c>
      <c r="B87" s="5" t="s">
        <v>73</v>
      </c>
      <c r="C87">
        <v>138396</v>
      </c>
    </row>
    <row r="88" spans="1:7" x14ac:dyDescent="0.25">
      <c r="A88" s="2" t="s">
        <v>41</v>
      </c>
      <c r="B88" s="5" t="s">
        <v>73</v>
      </c>
      <c r="C88">
        <v>98977</v>
      </c>
      <c r="D88">
        <f t="shared" si="51"/>
        <v>110543</v>
      </c>
      <c r="E88">
        <f t="shared" si="52"/>
        <v>19789.12440373921</v>
      </c>
      <c r="F88">
        <f t="shared" si="53"/>
        <v>11425.256301525826</v>
      </c>
      <c r="G88">
        <f t="shared" si="54"/>
        <v>0.10335576473884213</v>
      </c>
    </row>
    <row r="89" spans="1:7" x14ac:dyDescent="0.25">
      <c r="A89" s="2" t="s">
        <v>41</v>
      </c>
      <c r="B89" s="5" t="s">
        <v>67</v>
      </c>
      <c r="C89">
        <v>2309975</v>
      </c>
    </row>
    <row r="90" spans="1:7" x14ac:dyDescent="0.25">
      <c r="A90" s="2" t="s">
        <v>41</v>
      </c>
      <c r="B90" s="5" t="s">
        <v>67</v>
      </c>
      <c r="C90">
        <v>1696002</v>
      </c>
    </row>
    <row r="91" spans="1:7" x14ac:dyDescent="0.25">
      <c r="A91" s="2" t="s">
        <v>41</v>
      </c>
      <c r="B91" s="5" t="s">
        <v>67</v>
      </c>
      <c r="C91">
        <v>2094832</v>
      </c>
      <c r="D91">
        <f t="shared" si="51"/>
        <v>2033603</v>
      </c>
      <c r="E91">
        <f t="shared" si="55"/>
        <v>254365.16272608296</v>
      </c>
      <c r="F91">
        <f t="shared" si="56"/>
        <v>146857.79517236695</v>
      </c>
      <c r="G91">
        <f t="shared" si="57"/>
        <v>7.2215567725051028E-2</v>
      </c>
    </row>
    <row r="92" spans="1:7" x14ac:dyDescent="0.25">
      <c r="A92" s="2" t="s">
        <v>19</v>
      </c>
      <c r="B92" s="5" t="s">
        <v>67</v>
      </c>
      <c r="C92" s="5">
        <v>55990</v>
      </c>
      <c r="D92" s="5"/>
      <c r="E92" s="5"/>
      <c r="F92" s="5"/>
      <c r="G92" s="5"/>
    </row>
    <row r="93" spans="1:7" x14ac:dyDescent="0.25">
      <c r="A93" s="2" t="s">
        <v>19</v>
      </c>
      <c r="B93" s="5" t="s">
        <v>67</v>
      </c>
      <c r="C93" s="5">
        <v>47834</v>
      </c>
      <c r="D93" s="5"/>
      <c r="E93" s="5"/>
      <c r="F93" s="5"/>
      <c r="G93" s="5"/>
    </row>
    <row r="94" spans="1:7" x14ac:dyDescent="0.25">
      <c r="A94" s="2" t="s">
        <v>19</v>
      </c>
      <c r="B94" s="5" t="s">
        <v>67</v>
      </c>
      <c r="C94" s="5">
        <v>79312</v>
      </c>
      <c r="D94" s="5">
        <f t="shared" ref="D94" si="58">AVERAGE(C92:C94)</f>
        <v>61045.333333333336</v>
      </c>
      <c r="E94" s="5">
        <f t="shared" ref="E94" si="59">_xlfn.STDEV.P(C92:C94)</f>
        <v>13338.750999333566</v>
      </c>
      <c r="F94" s="5">
        <f t="shared" ref="F94" si="60">E94/SQRT(3)</f>
        <v>7701.1314801186245</v>
      </c>
      <c r="G94" s="5">
        <f t="shared" ref="G94" si="61">F94/D94</f>
        <v>0.12615430303356998</v>
      </c>
    </row>
    <row r="95" spans="1:7" x14ac:dyDescent="0.25">
      <c r="A95" s="2" t="s">
        <v>19</v>
      </c>
      <c r="B95" s="5" t="s">
        <v>139</v>
      </c>
      <c r="C95" s="5">
        <v>23284</v>
      </c>
      <c r="D95" s="5"/>
      <c r="E95" s="5"/>
      <c r="F95" s="5"/>
      <c r="G95" s="5"/>
    </row>
    <row r="96" spans="1:7" x14ac:dyDescent="0.25">
      <c r="A96" s="2" t="s">
        <v>19</v>
      </c>
      <c r="B96" s="5" t="s">
        <v>139</v>
      </c>
      <c r="C96" s="5">
        <v>23603</v>
      </c>
      <c r="D96" s="5"/>
      <c r="E96" s="5"/>
      <c r="F96" s="5"/>
      <c r="G96" s="5"/>
    </row>
    <row r="97" spans="1:7" x14ac:dyDescent="0.25">
      <c r="A97" s="2" t="s">
        <v>19</v>
      </c>
      <c r="B97" s="5" t="s">
        <v>139</v>
      </c>
      <c r="C97" s="5">
        <v>29534</v>
      </c>
      <c r="D97" s="5">
        <f t="shared" ref="D97" si="62">AVERAGE(C95:C97)</f>
        <v>25473.666666666668</v>
      </c>
      <c r="E97" s="5">
        <f t="shared" ref="E97" si="63">_xlfn.STDEV.P(C95:C97)</f>
        <v>2874.0413280876037</v>
      </c>
      <c r="F97" s="5">
        <f t="shared" ref="F97" si="64">E97/SQRT(3)</f>
        <v>1659.3285344334877</v>
      </c>
      <c r="G97" s="5">
        <f t="shared" ref="G97" si="65">F97/D97</f>
        <v>6.5138974932289068E-2</v>
      </c>
    </row>
    <row r="98" spans="1:7" x14ac:dyDescent="0.25">
      <c r="A98" s="2" t="s">
        <v>20</v>
      </c>
      <c r="B98" s="5" t="s">
        <v>67</v>
      </c>
      <c r="C98" s="5">
        <v>225256</v>
      </c>
      <c r="D98" s="5"/>
      <c r="E98" s="5"/>
      <c r="F98" s="5"/>
      <c r="G98" s="5"/>
    </row>
    <row r="99" spans="1:7" x14ac:dyDescent="0.25">
      <c r="A99" s="2" t="s">
        <v>20</v>
      </c>
      <c r="B99" s="5" t="s">
        <v>67</v>
      </c>
      <c r="C99" s="5">
        <v>121654</v>
      </c>
      <c r="D99" s="5"/>
      <c r="E99" s="5"/>
      <c r="F99" s="5"/>
      <c r="G99" s="5"/>
    </row>
    <row r="100" spans="1:7" x14ac:dyDescent="0.25">
      <c r="A100" s="2" t="s">
        <v>20</v>
      </c>
      <c r="B100" s="5" t="s">
        <v>67</v>
      </c>
      <c r="C100" s="5">
        <v>160386</v>
      </c>
      <c r="D100" s="5">
        <f t="shared" ref="D100" si="66">AVERAGE(C98:C100)</f>
        <v>169098.66666666666</v>
      </c>
      <c r="E100" s="5">
        <f t="shared" ref="E100" si="67">_xlfn.STDEV.P(C98:C100)</f>
        <v>42741.677718852152</v>
      </c>
      <c r="F100" s="5">
        <f t="shared" ref="F100" si="68">E100/SQRT(3)</f>
        <v>24676.919136595519</v>
      </c>
      <c r="G100" s="5">
        <f t="shared" ref="G100" si="69">F100/D100</f>
        <v>0.14593207399582603</v>
      </c>
    </row>
    <row r="101" spans="1:7" x14ac:dyDescent="0.25">
      <c r="A101" s="2" t="s">
        <v>20</v>
      </c>
      <c r="B101" s="5" t="s">
        <v>139</v>
      </c>
      <c r="C101" s="5">
        <v>190649</v>
      </c>
      <c r="D101" s="5"/>
      <c r="E101" s="5"/>
      <c r="F101" s="5"/>
      <c r="G101" s="5"/>
    </row>
    <row r="102" spans="1:7" x14ac:dyDescent="0.25">
      <c r="A102" s="2" t="s">
        <v>20</v>
      </c>
      <c r="B102" s="5" t="s">
        <v>139</v>
      </c>
      <c r="C102" s="5">
        <v>203184</v>
      </c>
      <c r="D102" s="5"/>
      <c r="E102" s="5"/>
      <c r="F102" s="5"/>
      <c r="G102" s="5"/>
    </row>
    <row r="103" spans="1:7" x14ac:dyDescent="0.25">
      <c r="A103" s="2" t="s">
        <v>20</v>
      </c>
      <c r="B103" s="5" t="s">
        <v>139</v>
      </c>
      <c r="C103" s="5">
        <v>107846</v>
      </c>
      <c r="D103" s="5">
        <f t="shared" ref="D103" si="70">AVERAGE(C101:C103)</f>
        <v>167226.33333333334</v>
      </c>
      <c r="E103" s="5">
        <f t="shared" ref="E103" si="71">_xlfn.STDEV.P(C101:C103)</f>
        <v>42298.932581751462</v>
      </c>
      <c r="F103" s="5">
        <f t="shared" ref="F103" si="72">E103/SQRT(3)</f>
        <v>24421.300112508041</v>
      </c>
      <c r="G103" s="5">
        <f t="shared" ref="G103" si="73">F103/D103</f>
        <v>0.14603740706213358</v>
      </c>
    </row>
    <row r="104" spans="1:7" x14ac:dyDescent="0.25">
      <c r="A104" s="2" t="s">
        <v>21</v>
      </c>
      <c r="B104" s="5" t="s">
        <v>67</v>
      </c>
      <c r="C104" s="5">
        <v>427587</v>
      </c>
      <c r="D104" s="5"/>
      <c r="E104" s="5"/>
      <c r="F104" s="5"/>
      <c r="G104" s="5"/>
    </row>
    <row r="105" spans="1:7" x14ac:dyDescent="0.25">
      <c r="A105" s="2" t="s">
        <v>21</v>
      </c>
      <c r="B105" s="5" t="s">
        <v>67</v>
      </c>
      <c r="C105" s="5">
        <v>399716</v>
      </c>
      <c r="D105" s="5"/>
      <c r="E105" s="5"/>
      <c r="F105" s="5"/>
      <c r="G105" s="5"/>
    </row>
    <row r="106" spans="1:7" x14ac:dyDescent="0.25">
      <c r="A106" s="2" t="s">
        <v>21</v>
      </c>
      <c r="B106" s="5" t="s">
        <v>67</v>
      </c>
      <c r="C106" s="5">
        <v>425338</v>
      </c>
      <c r="D106" s="5">
        <f t="shared" ref="D106" si="74">AVERAGE(C104:C106)</f>
        <v>417547</v>
      </c>
      <c r="E106" s="5">
        <f t="shared" ref="E106" si="75">_xlfn.STDEV.P(C104:C106)</f>
        <v>12641.806859253413</v>
      </c>
      <c r="F106" s="5">
        <f t="shared" ref="F106" si="76">E106/SQRT(3)</f>
        <v>7298.750593233216</v>
      </c>
      <c r="G106" s="5">
        <f t="shared" ref="G106" si="77">F106/D106</f>
        <v>1.7480069532850712E-2</v>
      </c>
    </row>
    <row r="107" spans="1:7" x14ac:dyDescent="0.25">
      <c r="A107" s="2" t="s">
        <v>21</v>
      </c>
      <c r="B107" s="5" t="s">
        <v>139</v>
      </c>
      <c r="C107" s="5">
        <v>622156</v>
      </c>
      <c r="D107" s="5"/>
      <c r="E107" s="5"/>
      <c r="F107" s="5"/>
      <c r="G107" s="5"/>
    </row>
    <row r="108" spans="1:7" x14ac:dyDescent="0.25">
      <c r="A108" s="2" t="s">
        <v>21</v>
      </c>
      <c r="B108" s="5" t="s">
        <v>139</v>
      </c>
      <c r="C108" s="5">
        <v>502023</v>
      </c>
      <c r="D108" s="5"/>
      <c r="E108" s="5"/>
      <c r="F108" s="5"/>
      <c r="G108" s="5"/>
    </row>
    <row r="109" spans="1:7" x14ac:dyDescent="0.25">
      <c r="A109" s="2" t="s">
        <v>21</v>
      </c>
      <c r="B109" s="5" t="s">
        <v>139</v>
      </c>
      <c r="C109" s="5">
        <v>570944</v>
      </c>
      <c r="D109" s="5">
        <f t="shared" ref="D109" si="78">AVERAGE(C107:C109)</f>
        <v>565041</v>
      </c>
      <c r="E109" s="5">
        <f t="shared" ref="E109" si="79">_xlfn.STDEV.P(C107:C109)</f>
        <v>49221.394257646403</v>
      </c>
      <c r="F109" s="5">
        <f t="shared" ref="F109" si="80">E109/SQRT(3)</f>
        <v>28417.985224540851</v>
      </c>
      <c r="G109" s="5">
        <f t="shared" ref="G109" si="81">F109/D109</f>
        <v>5.0293669352384787E-2</v>
      </c>
    </row>
    <row r="110" spans="1:7" x14ac:dyDescent="0.25">
      <c r="A110" s="2" t="s">
        <v>38</v>
      </c>
      <c r="B110" s="5" t="s">
        <v>67</v>
      </c>
      <c r="C110" s="5">
        <v>146573</v>
      </c>
      <c r="D110" s="5"/>
      <c r="E110" s="5"/>
      <c r="F110" s="5"/>
      <c r="G110" s="5"/>
    </row>
    <row r="111" spans="1:7" x14ac:dyDescent="0.25">
      <c r="A111" s="2" t="s">
        <v>38</v>
      </c>
      <c r="B111" s="5" t="s">
        <v>67</v>
      </c>
      <c r="C111" s="5">
        <v>108643</v>
      </c>
      <c r="D111" s="5"/>
      <c r="E111" s="5"/>
      <c r="F111" s="5"/>
      <c r="G111" s="5"/>
    </row>
    <row r="112" spans="1:7" x14ac:dyDescent="0.25">
      <c r="A112" s="2" t="s">
        <v>38</v>
      </c>
      <c r="B112" s="5" t="s">
        <v>67</v>
      </c>
      <c r="C112" s="5">
        <v>99342</v>
      </c>
      <c r="D112" s="5">
        <f t="shared" ref="D112" si="82">AVERAGE(C110:C112)</f>
        <v>118186</v>
      </c>
      <c r="E112" s="5">
        <f t="shared" ref="E112" si="83">_xlfn.STDEV.P(C110:C112)</f>
        <v>20428.631492752193</v>
      </c>
      <c r="F112" s="5">
        <f t="shared" ref="F112" si="84">E112/SQRT(3)</f>
        <v>11794.475891516146</v>
      </c>
      <c r="G112" s="5">
        <f t="shared" ref="G112" si="85">F112/D112</f>
        <v>9.9795880150915894E-2</v>
      </c>
    </row>
    <row r="113" spans="1:7" x14ac:dyDescent="0.25">
      <c r="A113" s="2" t="s">
        <v>38</v>
      </c>
      <c r="B113" s="5" t="s">
        <v>139</v>
      </c>
      <c r="C113" s="5">
        <v>102103</v>
      </c>
      <c r="D113" s="5"/>
      <c r="E113" s="5"/>
      <c r="F113" s="5"/>
      <c r="G113" s="5"/>
    </row>
    <row r="114" spans="1:7" x14ac:dyDescent="0.25">
      <c r="A114" s="2" t="s">
        <v>38</v>
      </c>
      <c r="B114" s="5" t="s">
        <v>139</v>
      </c>
      <c r="C114" s="5">
        <v>89259</v>
      </c>
      <c r="D114" s="5"/>
      <c r="E114" s="5"/>
      <c r="F114" s="5"/>
      <c r="G114" s="5"/>
    </row>
    <row r="115" spans="1:7" x14ac:dyDescent="0.25">
      <c r="A115" s="2" t="s">
        <v>38</v>
      </c>
      <c r="B115" s="5" t="s">
        <v>139</v>
      </c>
      <c r="C115" s="5">
        <v>93754</v>
      </c>
      <c r="D115" s="5">
        <f t="shared" ref="D115" si="86">AVERAGE(C113:C115)</f>
        <v>95038.666666666672</v>
      </c>
      <c r="E115" s="5">
        <f t="shared" ref="E115" si="87">_xlfn.STDEV.P(C113:C115)</f>
        <v>5321.6451299282344</v>
      </c>
      <c r="F115" s="5">
        <f t="shared" ref="F115" si="88">E115/SQRT(3)</f>
        <v>3072.4532482957275</v>
      </c>
      <c r="G115" s="5">
        <f t="shared" ref="G115" si="89">F115/D115</f>
        <v>3.2328454891648248E-2</v>
      </c>
    </row>
    <row r="116" spans="1:7" x14ac:dyDescent="0.25">
      <c r="A116" s="2" t="s">
        <v>39</v>
      </c>
      <c r="B116" s="5" t="s">
        <v>67</v>
      </c>
      <c r="C116" s="5">
        <v>1767293</v>
      </c>
      <c r="D116" s="5"/>
      <c r="E116" s="5"/>
      <c r="F116" s="5"/>
      <c r="G116" s="5"/>
    </row>
    <row r="117" spans="1:7" x14ac:dyDescent="0.25">
      <c r="A117" s="2" t="s">
        <v>39</v>
      </c>
      <c r="B117" s="5" t="s">
        <v>67</v>
      </c>
      <c r="C117" s="5">
        <v>1721593</v>
      </c>
      <c r="D117" s="5"/>
      <c r="E117" s="5"/>
      <c r="F117" s="5"/>
      <c r="G117" s="5"/>
    </row>
    <row r="118" spans="1:7" x14ac:dyDescent="0.25">
      <c r="A118" s="2" t="s">
        <v>39</v>
      </c>
      <c r="B118" s="5" t="s">
        <v>67</v>
      </c>
      <c r="C118" s="5">
        <v>2181194</v>
      </c>
      <c r="D118" s="5">
        <f t="shared" ref="D118" si="90">AVERAGE(C116:C118)</f>
        <v>1890026.6666666667</v>
      </c>
      <c r="E118" s="5">
        <f t="shared" ref="E118" si="91">_xlfn.STDEV.P(C116:C118)</f>
        <v>206729.99218035318</v>
      </c>
      <c r="F118" s="5">
        <f t="shared" ref="F118" si="92">E118/SQRT(3)</f>
        <v>119355.61663489614</v>
      </c>
      <c r="G118" s="5">
        <f t="shared" ref="G118" si="93">F118/D118</f>
        <v>6.3150228904122765E-2</v>
      </c>
    </row>
    <row r="119" spans="1:7" x14ac:dyDescent="0.25">
      <c r="A119" s="2" t="s">
        <v>39</v>
      </c>
      <c r="B119" s="5" t="s">
        <v>139</v>
      </c>
      <c r="C119" s="5">
        <v>1480430</v>
      </c>
      <c r="D119" s="5"/>
      <c r="E119" s="5"/>
      <c r="F119" s="5"/>
      <c r="G119" s="5"/>
    </row>
    <row r="120" spans="1:7" x14ac:dyDescent="0.25">
      <c r="A120" s="2" t="s">
        <v>39</v>
      </c>
      <c r="B120" s="5" t="s">
        <v>139</v>
      </c>
      <c r="C120" s="5">
        <v>834071</v>
      </c>
      <c r="D120" s="5"/>
      <c r="E120" s="5"/>
      <c r="F120" s="5"/>
      <c r="G120" s="5"/>
    </row>
    <row r="121" spans="1:7" x14ac:dyDescent="0.25">
      <c r="A121" s="2" t="s">
        <v>39</v>
      </c>
      <c r="B121" s="5" t="s">
        <v>139</v>
      </c>
      <c r="C121" s="5">
        <v>1066558</v>
      </c>
      <c r="D121" s="5">
        <f t="shared" ref="D121" si="94">AVERAGE(C119:C121)</f>
        <v>1127019.6666666667</v>
      </c>
      <c r="E121" s="5">
        <f t="shared" ref="E121" si="95">_xlfn.STDEV.P(C119:C121)</f>
        <v>267315.91681296413</v>
      </c>
      <c r="F121" s="5">
        <f t="shared" ref="F121" si="96">E121/SQRT(3)</f>
        <v>154334.91653063646</v>
      </c>
      <c r="G121" s="5">
        <f t="shared" ref="G121" si="97">F121/D121</f>
        <v>0.136940748325276</v>
      </c>
    </row>
    <row r="122" spans="1:7" x14ac:dyDescent="0.25">
      <c r="A122" s="2" t="s">
        <v>40</v>
      </c>
      <c r="B122" s="5" t="s">
        <v>67</v>
      </c>
      <c r="C122" s="5">
        <v>1361623</v>
      </c>
      <c r="D122" s="5"/>
      <c r="E122" s="5"/>
      <c r="F122" s="5"/>
      <c r="G122" s="5"/>
    </row>
    <row r="123" spans="1:7" x14ac:dyDescent="0.25">
      <c r="A123" s="2" t="s">
        <v>40</v>
      </c>
      <c r="B123" s="5" t="s">
        <v>67</v>
      </c>
      <c r="C123" s="5">
        <v>1089202</v>
      </c>
      <c r="D123" s="5"/>
      <c r="E123" s="5"/>
      <c r="F123" s="5"/>
      <c r="G123" s="5"/>
    </row>
    <row r="124" spans="1:7" x14ac:dyDescent="0.25">
      <c r="A124" s="2" t="s">
        <v>40</v>
      </c>
      <c r="B124" s="5" t="s">
        <v>67</v>
      </c>
      <c r="C124" s="5">
        <v>1564377</v>
      </c>
      <c r="D124" s="5">
        <f t="shared" ref="D124" si="98">AVERAGE(C122:C124)</f>
        <v>1338400.6666666667</v>
      </c>
      <c r="E124" s="5">
        <f t="shared" ref="E124" si="99">_xlfn.STDEV.P(C122:C124)</f>
        <v>194683.12327186679</v>
      </c>
      <c r="F124" s="5">
        <f t="shared" ref="F124" si="100">E124/SQRT(3)</f>
        <v>112400.35362768939</v>
      </c>
      <c r="G124" s="5">
        <f t="shared" ref="G124" si="101">F124/D124</f>
        <v>8.3981095068957456E-2</v>
      </c>
    </row>
    <row r="125" spans="1:7" x14ac:dyDescent="0.25">
      <c r="A125" s="2" t="s">
        <v>40</v>
      </c>
      <c r="B125" s="5" t="s">
        <v>139</v>
      </c>
      <c r="C125" s="5"/>
      <c r="D125" s="5"/>
      <c r="E125" s="5"/>
      <c r="F125" s="5"/>
      <c r="G125" s="5"/>
    </row>
    <row r="126" spans="1:7" x14ac:dyDescent="0.25">
      <c r="A126" s="2" t="s">
        <v>40</v>
      </c>
      <c r="B126" s="5" t="s">
        <v>139</v>
      </c>
      <c r="C126" s="5">
        <v>1699961</v>
      </c>
      <c r="D126" s="5"/>
      <c r="E126" s="5"/>
      <c r="F126" s="5"/>
      <c r="G126" s="5"/>
    </row>
    <row r="127" spans="1:7" x14ac:dyDescent="0.25">
      <c r="A127" s="2" t="s">
        <v>40</v>
      </c>
      <c r="B127" s="5" t="s">
        <v>139</v>
      </c>
      <c r="C127" s="5">
        <v>2125200</v>
      </c>
      <c r="D127" s="5">
        <f t="shared" ref="D127" si="102">AVERAGE(C125:C127)</f>
        <v>1912580.5</v>
      </c>
      <c r="E127" s="5">
        <f t="shared" ref="E127" si="103">_xlfn.STDEV.P(C125:C127)</f>
        <v>212619.5</v>
      </c>
      <c r="F127" s="5">
        <f t="shared" ref="F127" si="104">E127/SQRT(3)</f>
        <v>122755.92555996364</v>
      </c>
      <c r="G127" s="5">
        <f t="shared" ref="G127" si="105">F127/D127</f>
        <v>6.4183403292025432E-2</v>
      </c>
    </row>
    <row r="128" spans="1:7" x14ac:dyDescent="0.25">
      <c r="A128" s="2" t="s">
        <v>41</v>
      </c>
      <c r="B128" s="5" t="s">
        <v>67</v>
      </c>
      <c r="C128" s="5">
        <v>1529579</v>
      </c>
      <c r="D128" s="5"/>
      <c r="E128" s="5"/>
      <c r="F128" s="5"/>
      <c r="G128" s="5"/>
    </row>
    <row r="129" spans="1:7" x14ac:dyDescent="0.25">
      <c r="A129" s="2" t="s">
        <v>41</v>
      </c>
      <c r="B129" s="5" t="s">
        <v>67</v>
      </c>
      <c r="C129" s="5">
        <v>1497408</v>
      </c>
      <c r="D129" s="5"/>
      <c r="E129" s="5"/>
      <c r="F129" s="5"/>
      <c r="G129" s="5"/>
    </row>
    <row r="130" spans="1:7" x14ac:dyDescent="0.25">
      <c r="A130" s="2" t="s">
        <v>41</v>
      </c>
      <c r="B130" s="5" t="s">
        <v>67</v>
      </c>
      <c r="C130" s="5">
        <v>1259609</v>
      </c>
      <c r="D130" s="5">
        <f t="shared" ref="D130" si="106">AVERAGE(C128:C130)</f>
        <v>1428865.3333333333</v>
      </c>
      <c r="E130" s="5">
        <f t="shared" ref="E130" si="107">_xlfn.STDEV.P(C128:C130)</f>
        <v>120400.78374698767</v>
      </c>
      <c r="F130" s="5">
        <f t="shared" ref="F130" si="108">E130/SQRT(3)</f>
        <v>69513.424906965258</v>
      </c>
      <c r="G130" s="5">
        <f t="shared" ref="G130" si="109">F130/D130</f>
        <v>4.8649388633987385E-2</v>
      </c>
    </row>
    <row r="131" spans="1:7" x14ac:dyDescent="0.25">
      <c r="A131" s="2" t="s">
        <v>41</v>
      </c>
      <c r="B131" s="5" t="s">
        <v>139</v>
      </c>
      <c r="C131" s="5">
        <v>339086</v>
      </c>
      <c r="D131" s="5"/>
      <c r="E131" s="5"/>
      <c r="F131" s="5"/>
      <c r="G131" s="5"/>
    </row>
    <row r="132" spans="1:7" x14ac:dyDescent="0.25">
      <c r="A132" s="2" t="s">
        <v>41</v>
      </c>
      <c r="B132" s="5" t="s">
        <v>139</v>
      </c>
      <c r="C132" s="5">
        <v>376259</v>
      </c>
      <c r="D132" s="5"/>
      <c r="E132" s="5"/>
      <c r="F132" s="5"/>
      <c r="G132" s="5"/>
    </row>
    <row r="133" spans="1:7" x14ac:dyDescent="0.25">
      <c r="A133" s="2" t="s">
        <v>41</v>
      </c>
      <c r="B133" s="5" t="s">
        <v>139</v>
      </c>
      <c r="C133" s="5">
        <v>386695</v>
      </c>
      <c r="D133" s="5">
        <f t="shared" ref="D133" si="110">AVERAGE(C131:C133)</f>
        <v>367346.66666666669</v>
      </c>
      <c r="E133" s="5">
        <f t="shared" ref="E133" si="111">_xlfn.STDEV.P(C131:C133)</f>
        <v>20432.433112306739</v>
      </c>
      <c r="F133" s="5">
        <f t="shared" ref="F133" si="112">E133/SQRT(3)</f>
        <v>11796.67075758932</v>
      </c>
      <c r="G133" s="5">
        <f t="shared" ref="G133" si="113">F133/D133</f>
        <v>3.2113183072091718E-2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6F12-9912-49C0-8DC6-3F48F0E57052}">
  <dimension ref="A1:D9"/>
  <sheetViews>
    <sheetView workbookViewId="0">
      <selection activeCell="E14" sqref="E14"/>
    </sheetView>
  </sheetViews>
  <sheetFormatPr defaultRowHeight="15" x14ac:dyDescent="0.25"/>
  <sheetData>
    <row r="1" spans="1:4" ht="16.5" thickBot="1" x14ac:dyDescent="0.3">
      <c r="A1" s="6" t="s">
        <v>134</v>
      </c>
      <c r="B1" s="13" t="s">
        <v>139</v>
      </c>
      <c r="C1" s="7" t="s">
        <v>37</v>
      </c>
      <c r="D1" s="8" t="s">
        <v>73</v>
      </c>
    </row>
    <row r="2" spans="1:4" ht="15.75" x14ac:dyDescent="0.25">
      <c r="A2" s="11" t="s">
        <v>19</v>
      </c>
      <c r="B2">
        <v>0.58270902498689492</v>
      </c>
      <c r="C2">
        <v>0.71865853492519438</v>
      </c>
      <c r="D2">
        <v>0.52223297528109813</v>
      </c>
    </row>
    <row r="3" spans="1:4" ht="15.75" x14ac:dyDescent="0.25">
      <c r="A3" s="11" t="s">
        <v>20</v>
      </c>
      <c r="B3">
        <v>1.1072431085598855E-2</v>
      </c>
      <c r="C3">
        <v>0.78805258497377562</v>
      </c>
      <c r="D3">
        <v>0.93527272494913194</v>
      </c>
    </row>
    <row r="4" spans="1:4" ht="15.75" x14ac:dyDescent="0.25">
      <c r="A4" s="11" t="s">
        <v>21</v>
      </c>
      <c r="B4">
        <v>-0.35323927605754557</v>
      </c>
      <c r="C4">
        <v>0.8391804814818592</v>
      </c>
      <c r="D4">
        <v>0.70965991258144712</v>
      </c>
    </row>
    <row r="5" spans="1:4" ht="15.75" x14ac:dyDescent="0.25">
      <c r="A5" s="11" t="s">
        <v>107</v>
      </c>
      <c r="D5">
        <v>0.9765667377618884</v>
      </c>
    </row>
    <row r="6" spans="1:4" ht="15.75" x14ac:dyDescent="0.25">
      <c r="A6" s="11" t="s">
        <v>38</v>
      </c>
      <c r="B6">
        <v>0.19585512102392266</v>
      </c>
      <c r="C6">
        <v>-0.53564516444345966</v>
      </c>
      <c r="D6">
        <v>0.55460869123828371</v>
      </c>
    </row>
    <row r="7" spans="1:4" ht="15.75" x14ac:dyDescent="0.25">
      <c r="A7" s="11" t="s">
        <v>39</v>
      </c>
      <c r="B7">
        <v>0.40370171143969746</v>
      </c>
      <c r="C7">
        <v>0.90726638801558979</v>
      </c>
      <c r="D7">
        <v>0.93787984154503279</v>
      </c>
    </row>
    <row r="8" spans="1:4" ht="15.75" x14ac:dyDescent="0.25">
      <c r="A8" s="11" t="s">
        <v>40</v>
      </c>
      <c r="B8">
        <v>-0.42900444361205237</v>
      </c>
      <c r="C8">
        <v>0.69670675905838642</v>
      </c>
      <c r="D8">
        <v>0.91228402691540389</v>
      </c>
    </row>
    <row r="9" spans="1:4" ht="15.75" x14ac:dyDescent="0.25">
      <c r="A9" s="11" t="s">
        <v>41</v>
      </c>
      <c r="B9">
        <v>0.74291022526965445</v>
      </c>
      <c r="C9">
        <v>0.88525548782582475</v>
      </c>
      <c r="D9">
        <v>0.94564179930891135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453A-4923-4ACC-97FD-528CB3198F2B}">
  <dimension ref="A1:D9"/>
  <sheetViews>
    <sheetView workbookViewId="0">
      <selection activeCell="E31" sqref="E31"/>
    </sheetView>
  </sheetViews>
  <sheetFormatPr defaultRowHeight="15" x14ac:dyDescent="0.25"/>
  <sheetData>
    <row r="1" spans="1:4" ht="16.5" thickBot="1" x14ac:dyDescent="0.3">
      <c r="A1" s="6" t="s">
        <v>134</v>
      </c>
      <c r="B1" s="13" t="s">
        <v>139</v>
      </c>
      <c r="C1" s="7" t="s">
        <v>37</v>
      </c>
      <c r="D1" s="8" t="s">
        <v>73</v>
      </c>
    </row>
    <row r="2" spans="1:4" ht="15.75" x14ac:dyDescent="0.25">
      <c r="A2" s="11" t="s">
        <v>19</v>
      </c>
      <c r="B2" s="5">
        <v>0.58270902498689492</v>
      </c>
      <c r="C2" s="5">
        <v>0.71865853492519438</v>
      </c>
      <c r="D2" s="5">
        <v>0.52223297528109813</v>
      </c>
    </row>
    <row r="3" spans="1:4" ht="15.75" x14ac:dyDescent="0.25">
      <c r="A3" s="11" t="s">
        <v>20</v>
      </c>
      <c r="B3" s="5">
        <v>1.1072431085598855E-2</v>
      </c>
      <c r="C3" s="5">
        <v>0.78805258497377562</v>
      </c>
      <c r="D3" s="5">
        <v>0.93527272494913194</v>
      </c>
    </row>
    <row r="4" spans="1:4" ht="15.75" x14ac:dyDescent="0.25">
      <c r="A4" s="11" t="s">
        <v>21</v>
      </c>
      <c r="B4" s="5">
        <v>-0.35323927605754557</v>
      </c>
      <c r="C4" s="5">
        <v>0.8391804814818592</v>
      </c>
      <c r="D4" s="5">
        <v>0.70965991258144712</v>
      </c>
    </row>
    <row r="5" spans="1:4" ht="15.75" x14ac:dyDescent="0.25">
      <c r="A5" s="11" t="s">
        <v>107</v>
      </c>
      <c r="C5" s="5"/>
      <c r="D5" s="5">
        <v>0.9765667377618884</v>
      </c>
    </row>
    <row r="6" spans="1:4" ht="15.75" x14ac:dyDescent="0.25">
      <c r="A6" s="11"/>
      <c r="B6" s="5"/>
      <c r="C6" s="5"/>
    </row>
    <row r="7" spans="1:4" ht="15.75" x14ac:dyDescent="0.25">
      <c r="A7" s="11"/>
      <c r="B7" s="5"/>
      <c r="C7" s="5"/>
    </row>
    <row r="8" spans="1:4" ht="15.75" x14ac:dyDescent="0.25">
      <c r="A8" s="11"/>
      <c r="B8" s="5"/>
      <c r="C8" s="5"/>
    </row>
    <row r="9" spans="1:4" ht="15.75" x14ac:dyDescent="0.25">
      <c r="A9" s="11"/>
      <c r="B9" s="5"/>
      <c r="C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1C10-AE9E-43B6-8D38-82152A0FB434}">
  <dimension ref="A1:D5"/>
  <sheetViews>
    <sheetView workbookViewId="0">
      <selection activeCell="F23" sqref="F23"/>
    </sheetView>
  </sheetViews>
  <sheetFormatPr defaultRowHeight="15" x14ac:dyDescent="0.25"/>
  <sheetData>
    <row r="1" spans="1:4" ht="16.5" thickBot="1" x14ac:dyDescent="0.3">
      <c r="A1" s="6" t="s">
        <v>134</v>
      </c>
      <c r="B1" s="13" t="s">
        <v>139</v>
      </c>
      <c r="C1" s="7" t="s">
        <v>37</v>
      </c>
      <c r="D1" s="8" t="s">
        <v>73</v>
      </c>
    </row>
    <row r="2" spans="1:4" ht="15.75" x14ac:dyDescent="0.25">
      <c r="A2" s="11" t="s">
        <v>38</v>
      </c>
      <c r="B2" s="5">
        <v>0.19585512102392266</v>
      </c>
      <c r="C2" s="5">
        <v>-0.53564516444345966</v>
      </c>
      <c r="D2" s="5">
        <v>0.55460869123828371</v>
      </c>
    </row>
    <row r="3" spans="1:4" ht="15.75" x14ac:dyDescent="0.25">
      <c r="A3" s="11" t="s">
        <v>39</v>
      </c>
      <c r="B3" s="5">
        <v>0.40370171143969746</v>
      </c>
      <c r="C3" s="5">
        <v>0.90726638801558979</v>
      </c>
      <c r="D3" s="5">
        <v>0.93787984154503279</v>
      </c>
    </row>
    <row r="4" spans="1:4" ht="15.75" x14ac:dyDescent="0.25">
      <c r="A4" s="11" t="s">
        <v>40</v>
      </c>
      <c r="B4" s="5">
        <v>-0.42900444361205237</v>
      </c>
      <c r="C4" s="5">
        <v>0.69670675905838642</v>
      </c>
      <c r="D4" s="5">
        <v>0.91228402691540389</v>
      </c>
    </row>
    <row r="5" spans="1:4" ht="15.75" x14ac:dyDescent="0.25">
      <c r="A5" s="11" t="s">
        <v>41</v>
      </c>
      <c r="B5" s="5">
        <v>0.74291022526965445</v>
      </c>
      <c r="C5" s="5">
        <v>0.88525548782582475</v>
      </c>
      <c r="D5" s="5">
        <v>0.94564179930891135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FEFB-9154-42F9-92F2-366C8448FAED}">
  <dimension ref="A1:C43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s="3" t="s">
        <v>18</v>
      </c>
      <c r="B1" s="3" t="s">
        <v>66</v>
      </c>
      <c r="C1" s="3" t="s">
        <v>68</v>
      </c>
    </row>
    <row r="2" spans="1:3" x14ac:dyDescent="0.25">
      <c r="A2" s="2" t="s">
        <v>20</v>
      </c>
      <c r="B2" s="5" t="s">
        <v>67</v>
      </c>
      <c r="C2" s="5">
        <v>225256</v>
      </c>
    </row>
    <row r="3" spans="1:3" x14ac:dyDescent="0.25">
      <c r="A3" s="2" t="s">
        <v>20</v>
      </c>
      <c r="B3" s="5" t="s">
        <v>67</v>
      </c>
      <c r="C3" s="5">
        <v>121654</v>
      </c>
    </row>
    <row r="4" spans="1:3" x14ac:dyDescent="0.25">
      <c r="A4" s="2" t="s">
        <v>20</v>
      </c>
      <c r="B4" s="5" t="s">
        <v>67</v>
      </c>
      <c r="C4" s="5">
        <v>160386</v>
      </c>
    </row>
    <row r="5" spans="1:3" x14ac:dyDescent="0.25">
      <c r="A5" s="2" t="s">
        <v>20</v>
      </c>
      <c r="B5" s="5" t="s">
        <v>139</v>
      </c>
      <c r="C5" s="5">
        <v>190649</v>
      </c>
    </row>
    <row r="6" spans="1:3" x14ac:dyDescent="0.25">
      <c r="A6" s="2" t="s">
        <v>20</v>
      </c>
      <c r="B6" s="5" t="s">
        <v>139</v>
      </c>
      <c r="C6" s="5">
        <v>203184</v>
      </c>
    </row>
    <row r="7" spans="1:3" x14ac:dyDescent="0.25">
      <c r="A7" s="2" t="s">
        <v>20</v>
      </c>
      <c r="B7" s="5" t="s">
        <v>139</v>
      </c>
      <c r="C7" s="5">
        <v>107846</v>
      </c>
    </row>
    <row r="8" spans="1:3" x14ac:dyDescent="0.25">
      <c r="A8" s="2" t="s">
        <v>21</v>
      </c>
      <c r="B8" s="5" t="s">
        <v>67</v>
      </c>
      <c r="C8" s="5">
        <v>427587</v>
      </c>
    </row>
    <row r="9" spans="1:3" x14ac:dyDescent="0.25">
      <c r="A9" s="2" t="s">
        <v>21</v>
      </c>
      <c r="B9" s="5" t="s">
        <v>67</v>
      </c>
      <c r="C9" s="5">
        <v>399716</v>
      </c>
    </row>
    <row r="10" spans="1:3" x14ac:dyDescent="0.25">
      <c r="A10" s="2" t="s">
        <v>21</v>
      </c>
      <c r="B10" s="5" t="s">
        <v>67</v>
      </c>
      <c r="C10" s="5">
        <v>425338</v>
      </c>
    </row>
    <row r="11" spans="1:3" x14ac:dyDescent="0.25">
      <c r="A11" s="2" t="s">
        <v>21</v>
      </c>
      <c r="B11" s="5" t="s">
        <v>139</v>
      </c>
      <c r="C11" s="5">
        <v>622156</v>
      </c>
    </row>
    <row r="12" spans="1:3" x14ac:dyDescent="0.25">
      <c r="A12" s="2" t="s">
        <v>21</v>
      </c>
      <c r="B12" s="5" t="s">
        <v>139</v>
      </c>
      <c r="C12" s="5">
        <v>502023</v>
      </c>
    </row>
    <row r="13" spans="1:3" x14ac:dyDescent="0.25">
      <c r="A13" s="2" t="s">
        <v>21</v>
      </c>
      <c r="B13" s="5" t="s">
        <v>139</v>
      </c>
      <c r="C13" s="5">
        <v>570944</v>
      </c>
    </row>
    <row r="14" spans="1:3" x14ac:dyDescent="0.25">
      <c r="A14" s="2" t="s">
        <v>19</v>
      </c>
      <c r="B14" s="5" t="s">
        <v>67</v>
      </c>
      <c r="C14" s="5">
        <v>55990</v>
      </c>
    </row>
    <row r="15" spans="1:3" x14ac:dyDescent="0.25">
      <c r="A15" s="2" t="s">
        <v>19</v>
      </c>
      <c r="B15" s="5" t="s">
        <v>67</v>
      </c>
      <c r="C15" s="5">
        <v>47834</v>
      </c>
    </row>
    <row r="16" spans="1:3" x14ac:dyDescent="0.25">
      <c r="A16" s="2" t="s">
        <v>19</v>
      </c>
      <c r="B16" s="5" t="s">
        <v>67</v>
      </c>
      <c r="C16" s="5">
        <v>79312</v>
      </c>
    </row>
    <row r="17" spans="1:3" x14ac:dyDescent="0.25">
      <c r="A17" s="2" t="s">
        <v>19</v>
      </c>
      <c r="B17" s="5" t="s">
        <v>139</v>
      </c>
      <c r="C17" s="5">
        <v>23284</v>
      </c>
    </row>
    <row r="18" spans="1:3" x14ac:dyDescent="0.25">
      <c r="A18" s="2" t="s">
        <v>19</v>
      </c>
      <c r="B18" s="5" t="s">
        <v>139</v>
      </c>
      <c r="C18" s="5">
        <v>23603</v>
      </c>
    </row>
    <row r="19" spans="1:3" x14ac:dyDescent="0.25">
      <c r="A19" s="2" t="s">
        <v>19</v>
      </c>
      <c r="B19" s="5" t="s">
        <v>139</v>
      </c>
      <c r="C19" s="5">
        <v>29534</v>
      </c>
    </row>
    <row r="20" spans="1:3" x14ac:dyDescent="0.25">
      <c r="A20" s="2" t="s">
        <v>39</v>
      </c>
      <c r="B20" s="5" t="s">
        <v>67</v>
      </c>
      <c r="C20" s="5">
        <v>1767293</v>
      </c>
    </row>
    <row r="21" spans="1:3" x14ac:dyDescent="0.25">
      <c r="A21" s="2" t="s">
        <v>39</v>
      </c>
      <c r="B21" s="5" t="s">
        <v>67</v>
      </c>
      <c r="C21" s="5">
        <v>1721593</v>
      </c>
    </row>
    <row r="22" spans="1:3" x14ac:dyDescent="0.25">
      <c r="A22" s="2" t="s">
        <v>39</v>
      </c>
      <c r="B22" s="5" t="s">
        <v>67</v>
      </c>
      <c r="C22" s="5">
        <v>2181194</v>
      </c>
    </row>
    <row r="23" spans="1:3" x14ac:dyDescent="0.25">
      <c r="A23" s="2" t="s">
        <v>39</v>
      </c>
      <c r="B23" s="5" t="s">
        <v>139</v>
      </c>
      <c r="C23" s="5">
        <v>1480430</v>
      </c>
    </row>
    <row r="24" spans="1:3" x14ac:dyDescent="0.25">
      <c r="A24" s="2" t="s">
        <v>39</v>
      </c>
      <c r="B24" s="5" t="s">
        <v>139</v>
      </c>
      <c r="C24" s="5">
        <v>834071</v>
      </c>
    </row>
    <row r="25" spans="1:3" x14ac:dyDescent="0.25">
      <c r="A25" s="2" t="s">
        <v>39</v>
      </c>
      <c r="B25" s="5" t="s">
        <v>139</v>
      </c>
      <c r="C25" s="5">
        <v>1066558</v>
      </c>
    </row>
    <row r="26" spans="1:3" x14ac:dyDescent="0.25">
      <c r="A26" s="2" t="s">
        <v>41</v>
      </c>
      <c r="B26" s="5" t="s">
        <v>67</v>
      </c>
      <c r="C26" s="5">
        <v>1529579</v>
      </c>
    </row>
    <row r="27" spans="1:3" x14ac:dyDescent="0.25">
      <c r="A27" s="2" t="s">
        <v>41</v>
      </c>
      <c r="B27" s="5" t="s">
        <v>67</v>
      </c>
      <c r="C27" s="5">
        <v>1497408</v>
      </c>
    </row>
    <row r="28" spans="1:3" x14ac:dyDescent="0.25">
      <c r="A28" s="2" t="s">
        <v>41</v>
      </c>
      <c r="B28" s="5" t="s">
        <v>67</v>
      </c>
      <c r="C28" s="5">
        <v>1259609</v>
      </c>
    </row>
    <row r="29" spans="1:3" x14ac:dyDescent="0.25">
      <c r="A29" s="2" t="s">
        <v>41</v>
      </c>
      <c r="B29" s="5" t="s">
        <v>139</v>
      </c>
      <c r="C29" s="5">
        <v>339086</v>
      </c>
    </row>
    <row r="30" spans="1:3" x14ac:dyDescent="0.25">
      <c r="A30" s="2" t="s">
        <v>41</v>
      </c>
      <c r="B30" s="5" t="s">
        <v>139</v>
      </c>
      <c r="C30" s="5">
        <v>376259</v>
      </c>
    </row>
    <row r="31" spans="1:3" x14ac:dyDescent="0.25">
      <c r="A31" s="2" t="s">
        <v>41</v>
      </c>
      <c r="B31" s="5" t="s">
        <v>139</v>
      </c>
      <c r="C31" s="5">
        <v>386695</v>
      </c>
    </row>
    <row r="32" spans="1:3" x14ac:dyDescent="0.25">
      <c r="A32" s="2" t="s">
        <v>38</v>
      </c>
      <c r="B32" s="5" t="s">
        <v>67</v>
      </c>
      <c r="C32" s="5">
        <v>146573</v>
      </c>
    </row>
    <row r="33" spans="1:3" x14ac:dyDescent="0.25">
      <c r="A33" s="2" t="s">
        <v>38</v>
      </c>
      <c r="B33" s="5" t="s">
        <v>67</v>
      </c>
      <c r="C33" s="5">
        <v>108643</v>
      </c>
    </row>
    <row r="34" spans="1:3" x14ac:dyDescent="0.25">
      <c r="A34" s="2" t="s">
        <v>38</v>
      </c>
      <c r="B34" s="5" t="s">
        <v>67</v>
      </c>
      <c r="C34" s="5">
        <v>99342</v>
      </c>
    </row>
    <row r="35" spans="1:3" x14ac:dyDescent="0.25">
      <c r="A35" s="2" t="s">
        <v>38</v>
      </c>
      <c r="B35" s="5" t="s">
        <v>139</v>
      </c>
      <c r="C35" s="5">
        <v>102103</v>
      </c>
    </row>
    <row r="36" spans="1:3" x14ac:dyDescent="0.25">
      <c r="A36" s="2" t="s">
        <v>38</v>
      </c>
      <c r="B36" s="5" t="s">
        <v>139</v>
      </c>
      <c r="C36" s="5">
        <v>89259</v>
      </c>
    </row>
    <row r="37" spans="1:3" x14ac:dyDescent="0.25">
      <c r="A37" s="2" t="s">
        <v>38</v>
      </c>
      <c r="B37" s="5" t="s">
        <v>139</v>
      </c>
      <c r="C37" s="5">
        <v>93754</v>
      </c>
    </row>
    <row r="38" spans="1:3" x14ac:dyDescent="0.25">
      <c r="A38" s="2" t="s">
        <v>40</v>
      </c>
      <c r="B38" s="5" t="s">
        <v>67</v>
      </c>
      <c r="C38" s="5">
        <v>1361623</v>
      </c>
    </row>
    <row r="39" spans="1:3" x14ac:dyDescent="0.25">
      <c r="A39" s="2" t="s">
        <v>40</v>
      </c>
      <c r="B39" s="5" t="s">
        <v>67</v>
      </c>
      <c r="C39" s="5">
        <v>1089202</v>
      </c>
    </row>
    <row r="40" spans="1:3" x14ac:dyDescent="0.25">
      <c r="A40" s="2" t="s">
        <v>40</v>
      </c>
      <c r="B40" s="5" t="s">
        <v>67</v>
      </c>
      <c r="C40" s="5">
        <v>1564377</v>
      </c>
    </row>
    <row r="41" spans="1:3" x14ac:dyDescent="0.25">
      <c r="A41" s="2" t="s">
        <v>40</v>
      </c>
      <c r="B41" s="5" t="s">
        <v>139</v>
      </c>
      <c r="C41" s="5"/>
    </row>
    <row r="42" spans="1:3" x14ac:dyDescent="0.25">
      <c r="A42" s="2" t="s">
        <v>40</v>
      </c>
      <c r="B42" s="5" t="s">
        <v>139</v>
      </c>
      <c r="C42" s="5">
        <v>1699961</v>
      </c>
    </row>
    <row r="43" spans="1:3" x14ac:dyDescent="0.25">
      <c r="A43" s="2" t="s">
        <v>40</v>
      </c>
      <c r="B43" s="5" t="s">
        <v>139</v>
      </c>
      <c r="C43" s="5">
        <v>2125200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8B57-90BF-4930-9165-273BD6DEAF7E}">
  <dimension ref="A1:C43"/>
  <sheetViews>
    <sheetView tabSelected="1" workbookViewId="0">
      <selection activeCell="E29" sqref="E29"/>
    </sheetView>
  </sheetViews>
  <sheetFormatPr defaultRowHeight="15" x14ac:dyDescent="0.25"/>
  <cols>
    <col min="1" max="3" width="9.140625" style="5"/>
  </cols>
  <sheetData>
    <row r="1" spans="1:3" x14ac:dyDescent="0.25">
      <c r="A1" s="3" t="s">
        <v>18</v>
      </c>
      <c r="B1" s="3" t="s">
        <v>66</v>
      </c>
      <c r="C1" s="3" t="s">
        <v>68</v>
      </c>
    </row>
    <row r="2" spans="1:3" x14ac:dyDescent="0.25">
      <c r="A2" s="2" t="s">
        <v>20</v>
      </c>
      <c r="B2" s="5" t="s">
        <v>67</v>
      </c>
      <c r="C2" s="5">
        <v>157282</v>
      </c>
    </row>
    <row r="3" spans="1:3" x14ac:dyDescent="0.25">
      <c r="A3" s="2" t="s">
        <v>20</v>
      </c>
      <c r="B3" s="5" t="s">
        <v>67</v>
      </c>
      <c r="C3" s="5">
        <v>167020</v>
      </c>
    </row>
    <row r="4" spans="1:3" x14ac:dyDescent="0.25">
      <c r="A4" s="2" t="s">
        <v>20</v>
      </c>
      <c r="B4" s="5" t="s">
        <v>67</v>
      </c>
      <c r="C4" s="5">
        <v>189533</v>
      </c>
    </row>
    <row r="5" spans="1:3" x14ac:dyDescent="0.25">
      <c r="A5" s="2" t="s">
        <v>20</v>
      </c>
      <c r="B5" s="5" t="s">
        <v>37</v>
      </c>
      <c r="C5" s="5">
        <v>37187</v>
      </c>
    </row>
    <row r="6" spans="1:3" x14ac:dyDescent="0.25">
      <c r="A6" s="2" t="s">
        <v>20</v>
      </c>
      <c r="B6" s="5" t="s">
        <v>37</v>
      </c>
      <c r="C6" s="5">
        <v>29550</v>
      </c>
    </row>
    <row r="7" spans="1:3" x14ac:dyDescent="0.25">
      <c r="A7" s="2" t="s">
        <v>20</v>
      </c>
      <c r="B7" s="5" t="s">
        <v>37</v>
      </c>
      <c r="C7" s="5">
        <v>42169</v>
      </c>
    </row>
    <row r="8" spans="1:3" x14ac:dyDescent="0.25">
      <c r="A8" s="2" t="s">
        <v>21</v>
      </c>
      <c r="B8" s="5" t="s">
        <v>67</v>
      </c>
      <c r="C8" s="5">
        <v>538022</v>
      </c>
    </row>
    <row r="9" spans="1:3" x14ac:dyDescent="0.25">
      <c r="A9" s="2" t="s">
        <v>21</v>
      </c>
      <c r="B9" s="5" t="s">
        <v>67</v>
      </c>
      <c r="C9" s="5">
        <v>621329</v>
      </c>
    </row>
    <row r="10" spans="1:3" x14ac:dyDescent="0.25">
      <c r="A10" s="2" t="s">
        <v>21</v>
      </c>
      <c r="B10" s="5" t="s">
        <v>67</v>
      </c>
      <c r="C10" s="5">
        <v>605783</v>
      </c>
    </row>
    <row r="11" spans="1:3" x14ac:dyDescent="0.25">
      <c r="A11" s="2" t="s">
        <v>21</v>
      </c>
      <c r="B11" s="5" t="s">
        <v>37</v>
      </c>
      <c r="C11" s="5">
        <v>75010</v>
      </c>
    </row>
    <row r="12" spans="1:3" x14ac:dyDescent="0.25">
      <c r="A12" s="2" t="s">
        <v>21</v>
      </c>
      <c r="B12" s="5" t="s">
        <v>37</v>
      </c>
      <c r="C12" s="5">
        <v>102355</v>
      </c>
    </row>
    <row r="13" spans="1:3" x14ac:dyDescent="0.25">
      <c r="A13" s="2" t="s">
        <v>21</v>
      </c>
      <c r="B13" s="5" t="s">
        <v>37</v>
      </c>
      <c r="C13" s="5">
        <v>106503</v>
      </c>
    </row>
    <row r="14" spans="1:3" x14ac:dyDescent="0.25">
      <c r="A14" s="2" t="s">
        <v>19</v>
      </c>
      <c r="B14" s="5" t="s">
        <v>67</v>
      </c>
      <c r="C14" s="5">
        <v>42467</v>
      </c>
    </row>
    <row r="15" spans="1:3" x14ac:dyDescent="0.25">
      <c r="A15" s="2" t="s">
        <v>19</v>
      </c>
      <c r="B15" s="5" t="s">
        <v>67</v>
      </c>
      <c r="C15" s="5">
        <v>54673</v>
      </c>
    </row>
    <row r="16" spans="1:3" x14ac:dyDescent="0.25">
      <c r="A16" s="2" t="s">
        <v>19</v>
      </c>
      <c r="B16" s="5" t="s">
        <v>67</v>
      </c>
      <c r="C16" s="5">
        <v>49774</v>
      </c>
    </row>
    <row r="17" spans="1:3" x14ac:dyDescent="0.25">
      <c r="A17" s="2" t="s">
        <v>19</v>
      </c>
      <c r="B17" s="5" t="s">
        <v>37</v>
      </c>
      <c r="C17" s="5">
        <v>15221</v>
      </c>
    </row>
    <row r="18" spans="1:3" x14ac:dyDescent="0.25">
      <c r="A18" s="2" t="s">
        <v>19</v>
      </c>
      <c r="B18" s="5" t="s">
        <v>37</v>
      </c>
      <c r="C18" s="5">
        <v>11520</v>
      </c>
    </row>
    <row r="19" spans="1:3" x14ac:dyDescent="0.25">
      <c r="A19" s="2" t="s">
        <v>19</v>
      </c>
      <c r="B19" s="5" t="s">
        <v>37</v>
      </c>
      <c r="C19" s="5">
        <v>14592</v>
      </c>
    </row>
    <row r="20" spans="1:3" x14ac:dyDescent="0.25">
      <c r="A20" s="2" t="s">
        <v>39</v>
      </c>
      <c r="B20" s="5" t="s">
        <v>67</v>
      </c>
      <c r="C20" s="5">
        <v>1799750</v>
      </c>
    </row>
    <row r="21" spans="1:3" x14ac:dyDescent="0.25">
      <c r="A21" s="2" t="s">
        <v>39</v>
      </c>
      <c r="B21" s="5" t="s">
        <v>67</v>
      </c>
      <c r="C21" s="5">
        <v>1911160</v>
      </c>
    </row>
    <row r="22" spans="1:3" x14ac:dyDescent="0.25">
      <c r="A22" s="2" t="s">
        <v>39</v>
      </c>
      <c r="B22" s="5" t="s">
        <v>67</v>
      </c>
      <c r="C22" s="5">
        <v>1453733</v>
      </c>
    </row>
    <row r="23" spans="1:3" x14ac:dyDescent="0.25">
      <c r="A23" s="2" t="s">
        <v>39</v>
      </c>
      <c r="B23" s="5" t="s">
        <v>37</v>
      </c>
      <c r="C23" s="5">
        <v>156185</v>
      </c>
    </row>
    <row r="24" spans="1:3" x14ac:dyDescent="0.25">
      <c r="A24" s="2" t="s">
        <v>39</v>
      </c>
      <c r="B24" s="5" t="s">
        <v>37</v>
      </c>
      <c r="C24" s="5">
        <v>121804</v>
      </c>
    </row>
    <row r="25" spans="1:3" x14ac:dyDescent="0.25">
      <c r="A25" s="2" t="s">
        <v>39</v>
      </c>
      <c r="B25" s="5" t="s">
        <v>37</v>
      </c>
      <c r="C25" s="5">
        <v>200947</v>
      </c>
    </row>
    <row r="26" spans="1:3" x14ac:dyDescent="0.25">
      <c r="A26" s="2" t="s">
        <v>41</v>
      </c>
      <c r="B26" s="5" t="s">
        <v>67</v>
      </c>
      <c r="C26" s="5">
        <v>1079201</v>
      </c>
    </row>
    <row r="27" spans="1:3" x14ac:dyDescent="0.25">
      <c r="A27" s="2" t="s">
        <v>41</v>
      </c>
      <c r="B27" s="5" t="s">
        <v>67</v>
      </c>
      <c r="C27" s="5">
        <v>1631041</v>
      </c>
    </row>
    <row r="28" spans="1:3" x14ac:dyDescent="0.25">
      <c r="A28" s="2" t="s">
        <v>41</v>
      </c>
      <c r="B28" s="5" t="s">
        <v>67</v>
      </c>
      <c r="C28" s="5">
        <v>1219593</v>
      </c>
    </row>
    <row r="29" spans="1:3" x14ac:dyDescent="0.25">
      <c r="A29" s="2" t="s">
        <v>41</v>
      </c>
      <c r="B29" s="5" t="s">
        <v>37</v>
      </c>
      <c r="C29" s="5">
        <v>190122</v>
      </c>
    </row>
    <row r="30" spans="1:3" x14ac:dyDescent="0.25">
      <c r="A30" s="2" t="s">
        <v>41</v>
      </c>
      <c r="B30" s="5" t="s">
        <v>37</v>
      </c>
      <c r="C30" s="5">
        <v>105018</v>
      </c>
    </row>
    <row r="31" spans="1:3" x14ac:dyDescent="0.25">
      <c r="A31" s="2" t="s">
        <v>41</v>
      </c>
      <c r="B31" s="5" t="s">
        <v>37</v>
      </c>
      <c r="C31" s="5">
        <v>155787</v>
      </c>
    </row>
    <row r="32" spans="1:3" x14ac:dyDescent="0.25">
      <c r="A32" s="2" t="s">
        <v>38</v>
      </c>
      <c r="B32" s="5" t="s">
        <v>67</v>
      </c>
      <c r="C32" s="5">
        <v>100191</v>
      </c>
    </row>
    <row r="33" spans="1:3" x14ac:dyDescent="0.25">
      <c r="A33" s="2" t="s">
        <v>38</v>
      </c>
      <c r="B33" s="5" t="s">
        <v>67</v>
      </c>
      <c r="C33" s="5">
        <v>112251</v>
      </c>
    </row>
    <row r="34" spans="1:3" x14ac:dyDescent="0.25">
      <c r="A34" s="2" t="s">
        <v>38</v>
      </c>
      <c r="B34" s="5" t="s">
        <v>67</v>
      </c>
      <c r="C34" s="5">
        <v>94472</v>
      </c>
    </row>
    <row r="35" spans="1:3" x14ac:dyDescent="0.25">
      <c r="A35" s="2" t="s">
        <v>38</v>
      </c>
      <c r="B35" s="5" t="s">
        <v>37</v>
      </c>
      <c r="C35" s="5">
        <v>172934</v>
      </c>
    </row>
    <row r="36" spans="1:3" x14ac:dyDescent="0.25">
      <c r="A36" s="2" t="s">
        <v>38</v>
      </c>
      <c r="B36" s="5" t="s">
        <v>37</v>
      </c>
      <c r="C36" s="5">
        <v>194315</v>
      </c>
    </row>
    <row r="37" spans="1:3" x14ac:dyDescent="0.25">
      <c r="A37" s="2" t="s">
        <v>38</v>
      </c>
      <c r="B37" s="5" t="s">
        <v>37</v>
      </c>
      <c r="C37" s="5">
        <v>104062</v>
      </c>
    </row>
    <row r="38" spans="1:3" x14ac:dyDescent="0.25">
      <c r="A38" s="2" t="s">
        <v>40</v>
      </c>
      <c r="B38" s="5" t="s">
        <v>67</v>
      </c>
      <c r="C38" s="5">
        <v>926214</v>
      </c>
    </row>
    <row r="39" spans="1:3" x14ac:dyDescent="0.25">
      <c r="A39" s="2" t="s">
        <v>40</v>
      </c>
      <c r="B39" s="5" t="s">
        <v>67</v>
      </c>
      <c r="C39" s="5">
        <v>897567</v>
      </c>
    </row>
    <row r="40" spans="1:3" x14ac:dyDescent="0.25">
      <c r="A40" s="2" t="s">
        <v>40</v>
      </c>
      <c r="B40" s="5" t="s">
        <v>67</v>
      </c>
      <c r="C40" s="5">
        <v>835909</v>
      </c>
    </row>
    <row r="41" spans="1:3" x14ac:dyDescent="0.25">
      <c r="A41" s="2" t="s">
        <v>40</v>
      </c>
      <c r="B41" s="5" t="s">
        <v>37</v>
      </c>
      <c r="C41" s="5">
        <v>203404</v>
      </c>
    </row>
    <row r="42" spans="1:3" x14ac:dyDescent="0.25">
      <c r="A42" s="2" t="s">
        <v>40</v>
      </c>
      <c r="B42" s="5" t="s">
        <v>37</v>
      </c>
      <c r="C42" s="5">
        <v>259268</v>
      </c>
    </row>
    <row r="43" spans="1:3" x14ac:dyDescent="0.25">
      <c r="A43" s="2" t="s">
        <v>40</v>
      </c>
      <c r="B43" s="5" t="s">
        <v>37</v>
      </c>
      <c r="C43" s="5">
        <v>343994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D306-5B76-4F44-AF44-A6D863A49FFC}">
  <dimension ref="A1:C49"/>
  <sheetViews>
    <sheetView topLeftCell="A7" workbookViewId="0">
      <selection activeCell="H38" sqref="H38"/>
    </sheetView>
  </sheetViews>
  <sheetFormatPr defaultRowHeight="15" x14ac:dyDescent="0.25"/>
  <sheetData>
    <row r="1" spans="1:3" x14ac:dyDescent="0.25">
      <c r="A1" s="3" t="s">
        <v>18</v>
      </c>
      <c r="B1" s="3" t="s">
        <v>66</v>
      </c>
      <c r="C1" s="3" t="s">
        <v>68</v>
      </c>
    </row>
    <row r="2" spans="1:3" x14ac:dyDescent="0.25">
      <c r="A2" s="2" t="s">
        <v>20</v>
      </c>
      <c r="B2" s="5" t="s">
        <v>73</v>
      </c>
      <c r="C2" s="5">
        <v>54240</v>
      </c>
    </row>
    <row r="3" spans="1:3" x14ac:dyDescent="0.25">
      <c r="A3" s="2" t="s">
        <v>20</v>
      </c>
      <c r="B3" s="5" t="s">
        <v>73</v>
      </c>
      <c r="C3" s="5">
        <v>33770</v>
      </c>
    </row>
    <row r="4" spans="1:3" x14ac:dyDescent="0.25">
      <c r="A4" s="2" t="s">
        <v>20</v>
      </c>
      <c r="B4" s="5" t="s">
        <v>73</v>
      </c>
      <c r="C4" s="5">
        <v>53805</v>
      </c>
    </row>
    <row r="5" spans="1:3" x14ac:dyDescent="0.25">
      <c r="A5" s="2" t="s">
        <v>20</v>
      </c>
      <c r="B5" s="5" t="s">
        <v>67</v>
      </c>
      <c r="C5" s="5">
        <v>760148</v>
      </c>
    </row>
    <row r="6" spans="1:3" x14ac:dyDescent="0.25">
      <c r="A6" s="2" t="s">
        <v>20</v>
      </c>
      <c r="B6" s="5" t="s">
        <v>67</v>
      </c>
      <c r="C6" s="5">
        <v>774802</v>
      </c>
    </row>
    <row r="7" spans="1:3" x14ac:dyDescent="0.25">
      <c r="A7" s="2" t="s">
        <v>20</v>
      </c>
      <c r="B7" s="5" t="s">
        <v>67</v>
      </c>
      <c r="C7" s="5">
        <v>656012</v>
      </c>
    </row>
    <row r="8" spans="1:3" x14ac:dyDescent="0.25">
      <c r="A8" s="2" t="s">
        <v>21</v>
      </c>
      <c r="B8" s="5" t="s">
        <v>73</v>
      </c>
      <c r="C8" s="5">
        <v>28432</v>
      </c>
    </row>
    <row r="9" spans="1:3" x14ac:dyDescent="0.25">
      <c r="A9" s="2" t="s">
        <v>21</v>
      </c>
      <c r="B9" s="5" t="s">
        <v>73</v>
      </c>
      <c r="C9" s="5">
        <v>36969</v>
      </c>
    </row>
    <row r="10" spans="1:3" x14ac:dyDescent="0.25">
      <c r="A10" s="2" t="s">
        <v>21</v>
      </c>
      <c r="B10" s="5" t="s">
        <v>73</v>
      </c>
      <c r="C10" s="5">
        <v>23941</v>
      </c>
    </row>
    <row r="11" spans="1:3" x14ac:dyDescent="0.25">
      <c r="A11" s="2" t="s">
        <v>21</v>
      </c>
      <c r="B11" s="5" t="s">
        <v>67</v>
      </c>
      <c r="C11" s="5">
        <v>108112</v>
      </c>
    </row>
    <row r="12" spans="1:3" x14ac:dyDescent="0.25">
      <c r="A12" s="2" t="s">
        <v>21</v>
      </c>
      <c r="B12" s="5" t="s">
        <v>67</v>
      </c>
      <c r="C12" s="5">
        <v>89453</v>
      </c>
    </row>
    <row r="13" spans="1:3" x14ac:dyDescent="0.25">
      <c r="A13" s="2" t="s">
        <v>21</v>
      </c>
      <c r="B13" s="5" t="s">
        <v>67</v>
      </c>
      <c r="C13" s="5">
        <v>110150</v>
      </c>
    </row>
    <row r="14" spans="1:3" x14ac:dyDescent="0.25">
      <c r="A14" s="2" t="s">
        <v>19</v>
      </c>
      <c r="B14" s="5" t="s">
        <v>73</v>
      </c>
      <c r="C14" s="5">
        <v>124497</v>
      </c>
    </row>
    <row r="15" spans="1:3" x14ac:dyDescent="0.25">
      <c r="A15" s="2" t="s">
        <v>19</v>
      </c>
      <c r="B15" s="5" t="s">
        <v>73</v>
      </c>
      <c r="C15" s="5">
        <v>153537</v>
      </c>
    </row>
    <row r="16" spans="1:3" x14ac:dyDescent="0.25">
      <c r="A16" s="2" t="s">
        <v>19</v>
      </c>
      <c r="B16" s="5" t="s">
        <v>73</v>
      </c>
      <c r="C16" s="5">
        <v>109995</v>
      </c>
    </row>
    <row r="17" spans="1:3" x14ac:dyDescent="0.25">
      <c r="A17" s="2" t="s">
        <v>19</v>
      </c>
      <c r="B17" s="5" t="s">
        <v>67</v>
      </c>
      <c r="C17" s="5">
        <v>228076</v>
      </c>
    </row>
    <row r="18" spans="1:3" x14ac:dyDescent="0.25">
      <c r="A18" s="2" t="s">
        <v>19</v>
      </c>
      <c r="B18" s="5" t="s">
        <v>67</v>
      </c>
      <c r="C18" s="5">
        <v>260568</v>
      </c>
    </row>
    <row r="19" spans="1:3" x14ac:dyDescent="0.25">
      <c r="A19" s="2" t="s">
        <v>19</v>
      </c>
      <c r="B19" s="5" t="s">
        <v>67</v>
      </c>
      <c r="C19" s="5">
        <v>323528</v>
      </c>
    </row>
    <row r="20" spans="1:3" x14ac:dyDescent="0.25">
      <c r="A20" s="2" t="s">
        <v>107</v>
      </c>
      <c r="B20" s="5" t="s">
        <v>73</v>
      </c>
      <c r="C20" s="5">
        <v>10410</v>
      </c>
    </row>
    <row r="21" spans="1:3" x14ac:dyDescent="0.25">
      <c r="A21" s="2" t="s">
        <v>107</v>
      </c>
      <c r="B21" s="5" t="s">
        <v>73</v>
      </c>
      <c r="C21" s="5">
        <v>10229</v>
      </c>
    </row>
    <row r="22" spans="1:3" x14ac:dyDescent="0.25">
      <c r="A22" s="2" t="s">
        <v>107</v>
      </c>
      <c r="B22" s="5" t="s">
        <v>73</v>
      </c>
      <c r="C22" s="5">
        <v>14310</v>
      </c>
    </row>
    <row r="23" spans="1:3" x14ac:dyDescent="0.25">
      <c r="A23" s="2" t="s">
        <v>107</v>
      </c>
      <c r="B23" s="5" t="s">
        <v>67</v>
      </c>
      <c r="C23" s="5">
        <v>526529</v>
      </c>
    </row>
    <row r="24" spans="1:3" x14ac:dyDescent="0.25">
      <c r="A24" s="2" t="s">
        <v>107</v>
      </c>
      <c r="B24" s="5" t="s">
        <v>67</v>
      </c>
      <c r="C24" s="5">
        <v>533795</v>
      </c>
    </row>
    <row r="25" spans="1:3" x14ac:dyDescent="0.25">
      <c r="A25" s="2" t="s">
        <v>107</v>
      </c>
      <c r="B25" s="5" t="s">
        <v>67</v>
      </c>
      <c r="C25" s="5">
        <v>431103</v>
      </c>
    </row>
    <row r="26" spans="1:3" x14ac:dyDescent="0.25">
      <c r="A26" s="2" t="s">
        <v>39</v>
      </c>
      <c r="B26" s="5" t="s">
        <v>73</v>
      </c>
      <c r="C26" s="5">
        <v>179667</v>
      </c>
    </row>
    <row r="27" spans="1:3" x14ac:dyDescent="0.25">
      <c r="A27" s="2" t="s">
        <v>39</v>
      </c>
      <c r="B27" s="5" t="s">
        <v>73</v>
      </c>
      <c r="C27" s="5">
        <v>154174</v>
      </c>
    </row>
    <row r="28" spans="1:3" x14ac:dyDescent="0.25">
      <c r="A28" s="2" t="s">
        <v>39</v>
      </c>
      <c r="B28" s="5" t="s">
        <v>73</v>
      </c>
      <c r="C28" s="5">
        <v>147188</v>
      </c>
    </row>
    <row r="29" spans="1:3" x14ac:dyDescent="0.25">
      <c r="A29" s="2" t="s">
        <v>39</v>
      </c>
      <c r="B29" s="5" t="s">
        <v>67</v>
      </c>
      <c r="C29" s="5">
        <v>2604642</v>
      </c>
    </row>
    <row r="30" spans="1:3" x14ac:dyDescent="0.25">
      <c r="A30" s="2" t="s">
        <v>39</v>
      </c>
      <c r="B30" s="5" t="s">
        <v>67</v>
      </c>
      <c r="C30" s="5">
        <v>2447600</v>
      </c>
    </row>
    <row r="31" spans="1:3" x14ac:dyDescent="0.25">
      <c r="A31" s="2" t="s">
        <v>39</v>
      </c>
      <c r="B31" s="5" t="s">
        <v>67</v>
      </c>
      <c r="C31" s="5">
        <v>2691283</v>
      </c>
    </row>
    <row r="32" spans="1:3" x14ac:dyDescent="0.25">
      <c r="A32" s="2" t="s">
        <v>41</v>
      </c>
      <c r="B32" s="5" t="s">
        <v>73</v>
      </c>
      <c r="C32" s="5">
        <v>94256</v>
      </c>
    </row>
    <row r="33" spans="1:3" x14ac:dyDescent="0.25">
      <c r="A33" s="2" t="s">
        <v>41</v>
      </c>
      <c r="B33" s="5" t="s">
        <v>73</v>
      </c>
      <c r="C33" s="5">
        <v>138396</v>
      </c>
    </row>
    <row r="34" spans="1:3" x14ac:dyDescent="0.25">
      <c r="A34" s="2" t="s">
        <v>41</v>
      </c>
      <c r="B34" s="5" t="s">
        <v>73</v>
      </c>
      <c r="C34" s="5">
        <v>98977</v>
      </c>
    </row>
    <row r="35" spans="1:3" x14ac:dyDescent="0.25">
      <c r="A35" s="2" t="s">
        <v>41</v>
      </c>
      <c r="B35" s="5" t="s">
        <v>67</v>
      </c>
      <c r="C35" s="5">
        <v>2309975</v>
      </c>
    </row>
    <row r="36" spans="1:3" x14ac:dyDescent="0.25">
      <c r="A36" s="2" t="s">
        <v>41</v>
      </c>
      <c r="B36" s="5" t="s">
        <v>67</v>
      </c>
      <c r="C36" s="5">
        <v>1696002</v>
      </c>
    </row>
    <row r="37" spans="1:3" x14ac:dyDescent="0.25">
      <c r="A37" s="2" t="s">
        <v>41</v>
      </c>
      <c r="B37" s="5" t="s">
        <v>67</v>
      </c>
      <c r="C37" s="5">
        <v>2094832</v>
      </c>
    </row>
    <row r="38" spans="1:3" x14ac:dyDescent="0.25">
      <c r="A38" s="2" t="s">
        <v>38</v>
      </c>
      <c r="B38" s="5" t="s">
        <v>73</v>
      </c>
      <c r="C38" s="5">
        <v>190466</v>
      </c>
    </row>
    <row r="39" spans="1:3" x14ac:dyDescent="0.25">
      <c r="A39" s="2" t="s">
        <v>38</v>
      </c>
      <c r="B39" s="5" t="s">
        <v>73</v>
      </c>
      <c r="C39" s="5">
        <f>54819*2</f>
        <v>109638</v>
      </c>
    </row>
    <row r="40" spans="1:3" x14ac:dyDescent="0.25">
      <c r="A40" s="2" t="s">
        <v>38</v>
      </c>
      <c r="B40" s="5" t="s">
        <v>73</v>
      </c>
      <c r="C40" s="5">
        <v>156170</v>
      </c>
    </row>
    <row r="41" spans="1:3" x14ac:dyDescent="0.25">
      <c r="A41" s="2" t="s">
        <v>38</v>
      </c>
      <c r="B41" s="5" t="s">
        <v>67</v>
      </c>
      <c r="C41" s="5">
        <v>322147</v>
      </c>
    </row>
    <row r="42" spans="1:3" x14ac:dyDescent="0.25">
      <c r="A42" s="2" t="s">
        <v>38</v>
      </c>
      <c r="B42" s="5" t="s">
        <v>67</v>
      </c>
      <c r="C42" s="5">
        <v>402145</v>
      </c>
    </row>
    <row r="43" spans="1:3" x14ac:dyDescent="0.25">
      <c r="A43" s="2" t="s">
        <v>38</v>
      </c>
      <c r="B43" s="5" t="s">
        <v>67</v>
      </c>
      <c r="C43" s="5">
        <v>300142</v>
      </c>
    </row>
    <row r="44" spans="1:3" x14ac:dyDescent="0.25">
      <c r="A44" s="2" t="s">
        <v>40</v>
      </c>
      <c r="B44" s="5" t="s">
        <v>73</v>
      </c>
      <c r="C44" s="5">
        <v>214266</v>
      </c>
    </row>
    <row r="45" spans="1:3" x14ac:dyDescent="0.25">
      <c r="A45" s="2" t="s">
        <v>40</v>
      </c>
      <c r="B45" s="5" t="s">
        <v>73</v>
      </c>
      <c r="C45" s="5">
        <v>351427</v>
      </c>
    </row>
    <row r="46" spans="1:3" x14ac:dyDescent="0.25">
      <c r="A46" s="2" t="s">
        <v>40</v>
      </c>
      <c r="B46" s="5" t="s">
        <v>73</v>
      </c>
      <c r="C46" s="5"/>
    </row>
    <row r="47" spans="1:3" x14ac:dyDescent="0.25">
      <c r="A47" s="2" t="s">
        <v>40</v>
      </c>
      <c r="B47" s="5" t="s">
        <v>67</v>
      </c>
      <c r="C47" s="5">
        <v>2844957</v>
      </c>
    </row>
    <row r="48" spans="1:3" x14ac:dyDescent="0.25">
      <c r="A48" s="2" t="s">
        <v>40</v>
      </c>
      <c r="B48" s="5" t="s">
        <v>67</v>
      </c>
      <c r="C48" s="5">
        <v>3620169</v>
      </c>
    </row>
    <row r="49" spans="1:3" x14ac:dyDescent="0.25">
      <c r="A49" s="2" t="s">
        <v>40</v>
      </c>
      <c r="B49" s="5" t="s">
        <v>67</v>
      </c>
      <c r="C49" s="5">
        <v>3208591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DataImageJ</vt:lpstr>
      <vt:lpstr>calc</vt:lpstr>
      <vt:lpstr>all</vt:lpstr>
      <vt:lpstr>Fil</vt:lpstr>
      <vt:lpstr>yea</vt:lpstr>
      <vt:lpstr>AVR-Pita</vt:lpstr>
      <vt:lpstr>Vd424Y</vt:lpstr>
      <vt:lpstr>AGLIP1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Wolf</dc:creator>
  <cp:lastModifiedBy>Valentina Wolf</cp:lastModifiedBy>
  <dcterms:created xsi:type="dcterms:W3CDTF">2024-09-19T13:43:46Z</dcterms:created>
  <dcterms:modified xsi:type="dcterms:W3CDTF">2024-10-21T11:39:57Z</dcterms:modified>
</cp:coreProperties>
</file>